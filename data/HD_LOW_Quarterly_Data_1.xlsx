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Quarterly Data" sheetId="2" state="visible" r:id="rId4"/>
    <sheet name="LIRA vs Comp Correlation" sheetId="3" state="visible" r:id="rId5"/>
    <sheet name="NAICS444 vs Comp Correlation" sheetId="4" state="visible" r:id="rId6"/>
    <sheet name="Point Estimates" sheetId="5" state="visible" r:id="rId7"/>
    <sheet name="Macro vs Comp Correl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5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C36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C37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C38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C69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C70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C71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C72" authorId="0">
      <text>
        <r>
          <rPr>
            <sz val="10"/>
            <rFont val="Arial"/>
            <family val="2"/>
          </rPr>
          <t xml:space="preserve">ESTIMATED date, not yet confirmed by the company -- assumes a standard 13-week quarter continuing from the last known quarter end. For reference only; not used in any calculation.</t>
        </r>
      </text>
    </comment>
    <comment ref="L5" authorId="0">
      <text>
        <r>
          <rPr>
            <sz val="10"/>
            <rFont val="Arial"/>
            <family val="2"/>
          </rPr>
          <t xml:space="preserve">Pulled from HD_LOW_Comp_Sales.xlsx, HD tab, row 5 (as of 2026-08-20). Full detail (weeks in quarter, FX impact, Total-comp figure, revenue, methodology notes) in HD_LOW_Source_Data.xlsx.</t>
        </r>
      </text>
    </comment>
    <comment ref="L6" authorId="0">
      <text>
        <r>
          <rPr>
            <sz val="10"/>
            <rFont val="Arial"/>
            <family val="2"/>
          </rPr>
          <t xml:space="preserve">Pulled from HD_LOW_Comp_Sales.xlsx, HD tab, row 6 (as of 2026-08-20). Full detail (weeks in quarter, FX impact, Total-comp figure, revenue, methodology notes) in HD_LOW_Source_Data.xlsx.</t>
        </r>
      </text>
    </comment>
    <comment ref="L7" authorId="0">
      <text>
        <r>
          <rPr>
            <sz val="10"/>
            <rFont val="Arial"/>
            <family val="2"/>
          </rPr>
          <t xml:space="preserve">Pulled from HD_LOW_Comp_Sales.xlsx, HD tab, row 7 (as of 2026-08-20). Full detail (weeks in quarter, FX impact, Total-comp figure, revenue, methodology notes) in HD_LOW_Source_Data.xlsx.</t>
        </r>
      </text>
    </comment>
    <comment ref="L8" authorId="0">
      <text>
        <r>
          <rPr>
            <sz val="10"/>
            <rFont val="Arial"/>
            <family val="2"/>
          </rPr>
          <t xml:space="preserve">Pulled from HD_LOW_Comp_Sales.xlsx, HD tab, row 8 (as of 2026-08-20). Full detail (weeks in quarter, FX impact, Total-comp figure, revenue, methodology notes) in HD_LOW_Source_Data.xlsx.</t>
        </r>
      </text>
    </comment>
    <comment ref="L9" authorId="0">
      <text>
        <r>
          <rPr>
            <sz val="10"/>
            <rFont val="Arial"/>
            <family val="2"/>
          </rPr>
          <t xml:space="preserve">Pulled from HD_LOW_Comp_Sales.xlsx, HD tab, row 9 (as of 2026-08-20). Full detail (weeks in quarter, FX impact, Total-comp figure, revenue, methodology notes) in HD_LOW_Source_Data.xlsx.</t>
        </r>
      </text>
    </comment>
    <comment ref="L10" authorId="0">
      <text>
        <r>
          <rPr>
            <sz val="10"/>
            <rFont val="Arial"/>
            <family val="2"/>
          </rPr>
          <t xml:space="preserve">Pulled from HD_LOW_Comp_Sales.xlsx, HD tab, row 10 (as of 2026-08-20). Full detail (weeks in quarter, FX impact, Total-comp figure, revenue, methodology notes) in HD_LOW_Source_Data.xlsx.</t>
        </r>
      </text>
    </comment>
    <comment ref="L11" authorId="0">
      <text>
        <r>
          <rPr>
            <sz val="10"/>
            <rFont val="Arial"/>
            <family val="2"/>
          </rPr>
          <t xml:space="preserve">Pulled from HD_LOW_Comp_Sales.xlsx, HD tab, row 11 (as of 2026-08-20). Full detail (weeks in quarter, FX impact, Total-comp figure, revenue, methodology notes) in HD_LOW_Source_Data.xlsx.</t>
        </r>
      </text>
    </comment>
    <comment ref="L12" authorId="0">
      <text>
        <r>
          <rPr>
            <sz val="10"/>
            <rFont val="Arial"/>
            <family val="2"/>
          </rPr>
          <t xml:space="preserve">Pulled from HD_LOW_Comp_Sales.xlsx, HD tab, row 12 (as of 2026-08-20). Full detail (weeks in quarter, FX impact, Total-comp figure, revenue, methodology notes) in HD_LOW_Source_Data.xlsx.</t>
        </r>
      </text>
    </comment>
    <comment ref="L13" authorId="0">
      <text>
        <r>
          <rPr>
            <sz val="10"/>
            <rFont val="Arial"/>
            <family val="2"/>
          </rPr>
          <t xml:space="preserve">Pulled from HD_LOW_Comp_Sales.xlsx, HD tab, row 13 (as of 2026-08-20). Full detail (weeks in quarter, FX impact, Total-comp figure, revenue, methodology notes) in HD_LOW_Source_Data.xlsx.</t>
        </r>
      </text>
    </comment>
    <comment ref="L14" authorId="0">
      <text>
        <r>
          <rPr>
            <sz val="10"/>
            <rFont val="Arial"/>
            <family val="2"/>
          </rPr>
          <t xml:space="preserve">Pulled from HD_LOW_Comp_Sales.xlsx, HD tab, row 14 (as of 2026-08-20). Full detail (weeks in quarter, FX impact, Total-comp figure, revenue, methodology notes) in HD_LOW_Source_Data.xlsx.</t>
        </r>
      </text>
    </comment>
    <comment ref="L15" authorId="0">
      <text>
        <r>
          <rPr>
            <sz val="10"/>
            <rFont val="Arial"/>
            <family val="2"/>
          </rPr>
          <t xml:space="preserve">Pulled from HD_LOW_Comp_Sales.xlsx, HD tab, row 15 (as of 2026-08-20). Full detail (weeks in quarter, FX impact, Total-comp figure, revenue, methodology notes) in HD_LOW_Source_Data.xlsx.</t>
        </r>
      </text>
    </comment>
    <comment ref="L16" authorId="0">
      <text>
        <r>
          <rPr>
            <sz val="10"/>
            <rFont val="Arial"/>
            <family val="2"/>
          </rPr>
          <t xml:space="preserve">Pulled from HD_LOW_Comp_Sales.xlsx, HD tab, row 16 (as of 2026-08-20). Full detail (weeks in quarter, FX impact, Total-comp figure, revenue, methodology notes) in HD_LOW_Source_Data.xlsx.</t>
        </r>
      </text>
    </comment>
    <comment ref="L17" authorId="0">
      <text>
        <r>
          <rPr>
            <sz val="10"/>
            <rFont val="Arial"/>
            <family val="2"/>
          </rPr>
          <t xml:space="preserve">Pulled from HD_LOW_Comp_Sales.xlsx, HD tab, row 17 (as of 2026-08-20). Full detail (weeks in quarter, FX impact, Total-comp figure, revenue, methodology notes) in HD_LOW_Source_Data.xlsx.</t>
        </r>
      </text>
    </comment>
    <comment ref="L18" authorId="0">
      <text>
        <r>
          <rPr>
            <sz val="10"/>
            <rFont val="Arial"/>
            <family val="2"/>
          </rPr>
          <t xml:space="preserve">Pulled from HD_LOW_Comp_Sales.xlsx, HD tab, row 18 (as of 2026-08-20). Full detail (weeks in quarter, FX impact, Total-comp figure, revenue, methodology notes) in HD_LOW_Source_Data.xlsx.</t>
        </r>
      </text>
    </comment>
    <comment ref="L19" authorId="0">
      <text>
        <r>
          <rPr>
            <sz val="10"/>
            <rFont val="Arial"/>
            <family val="2"/>
          </rPr>
          <t xml:space="preserve">Pulled from HD_LOW_Comp_Sales.xlsx, HD tab, row 19 (as of 2026-08-20). Full detail (weeks in quarter, FX impact, Total-comp figure, revenue, methodology notes) in HD_LOW_Source_Data.xlsx.</t>
        </r>
      </text>
    </comment>
    <comment ref="L20" authorId="0">
      <text>
        <r>
          <rPr>
            <sz val="10"/>
            <rFont val="Arial"/>
            <family val="2"/>
          </rPr>
          <t xml:space="preserve">Pulled from HD_LOW_Comp_Sales.xlsx, HD tab, row 20 (as of 2026-08-20). Full detail (weeks in quarter, FX impact, Total-comp figure, revenue, methodology notes) in HD_LOW_Source_Data.xlsx.</t>
        </r>
      </text>
    </comment>
    <comment ref="L21" authorId="0">
      <text>
        <r>
          <rPr>
            <sz val="10"/>
            <rFont val="Arial"/>
            <family val="2"/>
          </rPr>
          <t xml:space="preserve">Pulled from HD_LOW_Comp_Sales.xlsx, HD tab, row 21 (as of 2026-08-20). Full detail (weeks in quarter, FX impact, Total-comp figure, revenue, methodology notes) in HD_LOW_Source_Data.xlsx.</t>
        </r>
      </text>
    </comment>
    <comment ref="L22" authorId="0">
      <text>
        <r>
          <rPr>
            <sz val="10"/>
            <rFont val="Arial"/>
            <family val="2"/>
          </rPr>
          <t xml:space="preserve">Pulled from HD_LOW_Comp_Sales.xlsx, HD tab, row 22 (as of 2026-08-20). Full detail (weeks in quarter, FX impact, Total-comp figure, revenue, methodology notes) in HD_LOW_Source_Data.xlsx.</t>
        </r>
      </text>
    </comment>
    <comment ref="L23" authorId="0">
      <text>
        <r>
          <rPr>
            <sz val="10"/>
            <rFont val="Arial"/>
            <family val="2"/>
          </rPr>
          <t xml:space="preserve">Pulled from HD_LOW_Comp_Sales.xlsx, HD tab, row 23 (as of 2026-08-20). Full detail (weeks in quarter, FX impact, Total-comp figure, revenue, methodology notes) in HD_LOW_Source_Data.xlsx.</t>
        </r>
      </text>
    </comment>
    <comment ref="L24" authorId="0">
      <text>
        <r>
          <rPr>
            <sz val="10"/>
            <rFont val="Arial"/>
            <family val="2"/>
          </rPr>
          <t xml:space="preserve">Pulled from HD_LOW_Comp_Sales.xlsx, HD tab, row 24 (as of 2026-08-20). Full detail (weeks in quarter, FX impact, Total-comp figure, revenue, methodology notes) in HD_LOW_Source_Data.xlsx.</t>
        </r>
      </text>
    </comment>
    <comment ref="L25" authorId="0">
      <text>
        <r>
          <rPr>
            <sz val="10"/>
            <rFont val="Arial"/>
            <family val="2"/>
          </rPr>
          <t xml:space="preserve">Pulled from HD_LOW_Comp_Sales.xlsx, HD tab, row 25 (as of 2026-08-20). Full detail (weeks in quarter, FX impact, Total-comp figure, revenue, methodology notes) in HD_LOW_Source_Data.xlsx.</t>
        </r>
      </text>
    </comment>
    <comment ref="L26" authorId="0">
      <text>
        <r>
          <rPr>
            <sz val="10"/>
            <rFont val="Arial"/>
            <family val="2"/>
          </rPr>
          <t xml:space="preserve">Pulled from HD_LOW_Comp_Sales.xlsx, HD tab, row 26 (as of 2026-08-20). Full detail (weeks in quarter, FX impact, Total-comp figure, revenue, methodology notes) in HD_LOW_Source_Data.xlsx.</t>
        </r>
      </text>
    </comment>
    <comment ref="L27" authorId="0">
      <text>
        <r>
          <rPr>
            <sz val="10"/>
            <rFont val="Arial"/>
            <family val="2"/>
          </rPr>
          <t xml:space="preserve">Pulled from HD_LOW_Comp_Sales.xlsx, HD tab, row 27 (as of 2026-08-20). Full detail (weeks in quarter, FX impact, Total-comp figure, revenue, methodology notes) in HD_LOW_Source_Data.xlsx.</t>
        </r>
      </text>
    </comment>
    <comment ref="L28" authorId="0">
      <text>
        <r>
          <rPr>
            <sz val="10"/>
            <rFont val="Arial"/>
            <family val="2"/>
          </rPr>
          <t xml:space="preserve">Pulled from HD_LOW_Comp_Sales.xlsx, HD tab, row 28 (as of 2026-08-20). Full detail (weeks in quarter, FX impact, Total-comp figure, revenue, methodology notes) in HD_LOW_Source_Data.xlsx.</t>
        </r>
      </text>
    </comment>
    <comment ref="L29" authorId="0">
      <text>
        <r>
          <rPr>
            <sz val="10"/>
            <rFont val="Arial"/>
            <family val="2"/>
          </rPr>
          <t xml:space="preserve">Pulled from HD_LOW_Comp_Sales.xlsx, HD tab, row 29 (as of 2026-08-20). Full detail (weeks in quarter, FX impact, Total-comp figure, revenue, methodology notes) in HD_LOW_Source_Data.xlsx.</t>
        </r>
      </text>
    </comment>
    <comment ref="L30" authorId="0">
      <text>
        <r>
          <rPr>
            <sz val="10"/>
            <rFont val="Arial"/>
            <family val="2"/>
          </rPr>
          <t xml:space="preserve">Pulled from HD_LOW_Comp_Sales.xlsx, HD tab, row 30 (as of 2026-08-20). Full detail (weeks in quarter, FX impact, Total-comp figure, revenue, methodology notes) in HD_LOW_Source_Data.xlsx.</t>
        </r>
      </text>
    </comment>
    <comment ref="L31" authorId="0">
      <text>
        <r>
          <rPr>
            <sz val="10"/>
            <rFont val="Arial"/>
            <family val="2"/>
          </rPr>
          <t xml:space="preserve">Pulled from HD_LOW_Comp_Sales.xlsx, HD tab, row 31 (as of 2026-08-20). Full detail (weeks in quarter, FX impact, Total-comp figure, revenue, methodology notes) in HD_LOW_Source_Data.xlsx.</t>
        </r>
      </text>
    </comment>
    <comment ref="L32" authorId="0">
      <text>
        <r>
          <rPr>
            <sz val="10"/>
            <rFont val="Arial"/>
            <family val="2"/>
          </rPr>
          <t xml:space="preserve">Pulled from HD_LOW_Comp_Sales.xlsx, HD tab, row 32 (as of 2026-08-20). Full detail (weeks in quarter, FX impact, Total-comp figure, revenue, methodology notes) in HD_LOW_Source_Data.xlsx.</t>
        </r>
      </text>
    </comment>
    <comment ref="L33" authorId="0">
      <text>
        <r>
          <rPr>
            <sz val="10"/>
            <rFont val="Arial"/>
            <family val="2"/>
          </rPr>
          <t xml:space="preserve">Pulled from HD_LOW_Comp_Sales.xlsx, HD tab, row 33 (as of 2026-08-20). Full detail (weeks in quarter, FX impact, Total-comp figure, revenue, methodology notes) in HD_LOW_Source_Data.xlsx.</t>
        </r>
      </text>
    </comment>
    <comment ref="L34" authorId="0">
      <text>
        <r>
          <rPr>
            <sz val="10"/>
            <rFont val="Arial"/>
            <family val="2"/>
          </rPr>
          <t xml:space="preserve">Pulled from HD_LOW_Comp_Sales.xlsx, HD tab, row 34 (as of 2026-08-20). Full detail (weeks in quarter, FX impact, Total-comp figure, revenue, methodology notes) in HD_LOW_Source_Data.xlsx.</t>
        </r>
      </text>
    </comment>
    <comment ref="L35" authorId="0">
      <text>
        <r>
          <rPr>
            <sz val="10"/>
            <rFont val="Arial"/>
            <family val="2"/>
          </rPr>
          <t xml:space="preserve">Live link to 'Point Estimates'!B20 -- the blended (85% regression / 15% LIRA) point estimate. Updates automatically if the methodology on that tab changes.</t>
        </r>
      </text>
    </comment>
    <comment ref="L36" authorId="0">
      <text>
        <r>
          <rPr>
            <sz val="10"/>
            <rFont val="Arial"/>
            <family val="2"/>
          </rPr>
          <t xml:space="preserve">Live link to 'Point Estimates'!B35 -- the blended (85% regression / 15% LIRA) point estimate. Updates automatically if the methodology on that tab changes.</t>
        </r>
      </text>
    </comment>
    <comment ref="L37" authorId="0">
      <text>
        <r>
          <rPr>
            <sz val="10"/>
            <rFont val="Arial"/>
            <family val="2"/>
          </rPr>
          <t xml:space="preserve">Live link to 'Point Estimates'!B53 -- the blended (85% regression / 15% LIRA) point estimate. Updates automatically if the methodology on that tab changes.</t>
        </r>
      </text>
    </comment>
    <comment ref="L38" authorId="0">
      <text>
        <r>
          <rPr>
            <sz val="10"/>
            <rFont val="Arial"/>
            <family val="2"/>
          </rPr>
          <t xml:space="preserve">Live link to 'Point Estimates'!B73 -- the blended (85% regression / 15% LIRA) point estimate. Updates automatically if the methodology on that tab changes.</t>
        </r>
      </text>
    </comment>
    <comment ref="L39" authorId="0">
      <text>
        <r>
          <rPr>
            <sz val="10"/>
            <rFont val="Arial"/>
            <family val="2"/>
          </rPr>
          <t xml:space="preserve">Pulled from HD_LOW_Comp_Sales.xlsx, LOW tab, row 5 (as of 2026-08-20). Full detail (weeks in quarter, FX impact, Total-comp figure, revenue, methodology notes) in HD_LOW_Source_Data.xlsx.</t>
        </r>
      </text>
    </comment>
    <comment ref="L40" authorId="0">
      <text>
        <r>
          <rPr>
            <sz val="10"/>
            <rFont val="Arial"/>
            <family val="2"/>
          </rPr>
          <t xml:space="preserve">Pulled from HD_LOW_Comp_Sales.xlsx, LOW tab, row 6 (as of 2026-08-20). Full detail (weeks in quarter, FX impact, Total-comp figure, revenue, methodology notes) in HD_LOW_Source_Data.xlsx.</t>
        </r>
      </text>
    </comment>
    <comment ref="L41" authorId="0">
      <text>
        <r>
          <rPr>
            <sz val="10"/>
            <rFont val="Arial"/>
            <family val="2"/>
          </rPr>
          <t xml:space="preserve">Pulled from HD_LOW_Comp_Sales.xlsx, LOW tab, row 7 (as of 2026-08-20). Full detail (weeks in quarter, FX impact, Total-comp figure, revenue, methodology notes) in HD_LOW_Source_Data.xlsx.</t>
        </r>
      </text>
    </comment>
    <comment ref="L42" authorId="0">
      <text>
        <r>
          <rPr>
            <sz val="10"/>
            <rFont val="Arial"/>
            <family val="2"/>
          </rPr>
          <t xml:space="preserve">Pulled from HD_LOW_Comp_Sales.xlsx, LOW tab, row 8 (as of 2026-08-20). Full detail (weeks in quarter, FX impact, Total-comp figure, revenue, methodology notes) in HD_LOW_Source_Data.xlsx.</t>
        </r>
      </text>
    </comment>
    <comment ref="L43" authorId="0">
      <text>
        <r>
          <rPr>
            <sz val="10"/>
            <rFont val="Arial"/>
            <family val="2"/>
          </rPr>
          <t xml:space="preserve">Pulled from HD_LOW_Comp_Sales.xlsx, LOW tab, row 9 (as of 2026-08-20). Full detail (weeks in quarter, FX impact, Total-comp figure, revenue, methodology notes) in HD_LOW_Source_Data.xlsx.</t>
        </r>
      </text>
    </comment>
    <comment ref="L44" authorId="0">
      <text>
        <r>
          <rPr>
            <sz val="10"/>
            <rFont val="Arial"/>
            <family val="2"/>
          </rPr>
          <t xml:space="preserve">Pulled from HD_LOW_Comp_Sales.xlsx, LOW tab, row 10 (as of 2026-08-20). Full detail (weeks in quarter, FX impact, Total-comp figure, revenue, methodology notes) in HD_LOW_Source_Data.xlsx.</t>
        </r>
      </text>
    </comment>
    <comment ref="L45" authorId="0">
      <text>
        <r>
          <rPr>
            <sz val="10"/>
            <rFont val="Arial"/>
            <family val="2"/>
          </rPr>
          <t xml:space="preserve">Pulled from HD_LOW_Comp_Sales.xlsx, LOW tab, row 11 (as of 2026-08-20). Full detail (weeks in quarter, FX impact, Total-comp figure, revenue, methodology notes) in HD_LOW_Source_Data.xlsx.</t>
        </r>
      </text>
    </comment>
    <comment ref="L46" authorId="0">
      <text>
        <r>
          <rPr>
            <sz val="10"/>
            <rFont val="Arial"/>
            <family val="2"/>
          </rPr>
          <t xml:space="preserve">Pulled from HD_LOW_Comp_Sales.xlsx, LOW tab, row 12 (as of 2026-08-20). Full detail (weeks in quarter, FX impact, Total-comp figure, revenue, methodology notes) in HD_LOW_Source_Data.xlsx.</t>
        </r>
      </text>
    </comment>
    <comment ref="L47" authorId="0">
      <text>
        <r>
          <rPr>
            <sz val="10"/>
            <rFont val="Arial"/>
            <family val="2"/>
          </rPr>
          <t xml:space="preserve">Pulled from HD_LOW_Comp_Sales.xlsx, LOW tab, row 13 (as of 2026-08-20). Full detail (weeks in quarter, FX impact, Total-comp figure, revenue, methodology notes) in HD_LOW_Source_Data.xlsx.</t>
        </r>
      </text>
    </comment>
    <comment ref="L48" authorId="0">
      <text>
        <r>
          <rPr>
            <sz val="10"/>
            <rFont val="Arial"/>
            <family val="2"/>
          </rPr>
          <t xml:space="preserve">Pulled from HD_LOW_Comp_Sales.xlsx, LOW tab, row 14 (as of 2026-08-20). Full detail (weeks in quarter, FX impact, Total-comp figure, revenue, methodology notes) in HD_LOW_Source_Data.xlsx.</t>
        </r>
      </text>
    </comment>
    <comment ref="L49" authorId="0">
      <text>
        <r>
          <rPr>
            <sz val="10"/>
            <rFont val="Arial"/>
            <family val="2"/>
          </rPr>
          <t xml:space="preserve">Pulled from HD_LOW_Comp_Sales.xlsx, LOW tab, row 15 (as of 2026-08-20). Full detail (weeks in quarter, FX impact, Total-comp figure, revenue, methodology notes) in HD_LOW_Source_Data.xlsx.</t>
        </r>
      </text>
    </comment>
    <comment ref="L50" authorId="0">
      <text>
        <r>
          <rPr>
            <sz val="10"/>
            <rFont val="Arial"/>
            <family val="2"/>
          </rPr>
          <t xml:space="preserve">Pulled from HD_LOW_Comp_Sales.xlsx, LOW tab, row 16 (as of 2026-08-20). Full detail (weeks in quarter, FX impact, Total-comp figure, revenue, methodology notes) in HD_LOW_Source_Data.xlsx.</t>
        </r>
      </text>
    </comment>
    <comment ref="L51" authorId="0">
      <text>
        <r>
          <rPr>
            <sz val="10"/>
            <rFont val="Arial"/>
            <family val="2"/>
          </rPr>
          <t xml:space="preserve">Pulled from HD_LOW_Comp_Sales.xlsx, LOW tab, row 17 (as of 2026-08-20). Full detail (weeks in quarter, FX impact, Total-comp figure, revenue, methodology notes) in HD_LOW_Source_Data.xlsx.</t>
        </r>
      </text>
    </comment>
    <comment ref="L52" authorId="0">
      <text>
        <r>
          <rPr>
            <sz val="10"/>
            <rFont val="Arial"/>
            <family val="2"/>
          </rPr>
          <t xml:space="preserve">Pulled from HD_LOW_Comp_Sales.xlsx, LOW tab, row 18 (as of 2026-08-20). Full detail (weeks in quarter, FX impact, Total-comp figure, revenue, methodology notes) in HD_LOW_Source_Data.xlsx.</t>
        </r>
      </text>
    </comment>
    <comment ref="L53" authorId="0">
      <text>
        <r>
          <rPr>
            <sz val="10"/>
            <rFont val="Arial"/>
            <family val="2"/>
          </rPr>
          <t xml:space="preserve">Pulled from HD_LOW_Comp_Sales.xlsx, LOW tab, row 19 (as of 2026-08-20). Full detail (weeks in quarter, FX impact, Total-comp figure, revenue, methodology notes) in HD_LOW_Source_Data.xlsx.</t>
        </r>
      </text>
    </comment>
    <comment ref="L54" authorId="0">
      <text>
        <r>
          <rPr>
            <sz val="10"/>
            <rFont val="Arial"/>
            <family val="2"/>
          </rPr>
          <t xml:space="preserve">Pulled from HD_LOW_Comp_Sales.xlsx, LOW tab, row 20 (as of 2026-08-20). Full detail (weeks in quarter, FX impact, Total-comp figure, revenue, methodology notes) in HD_LOW_Source_Data.xlsx.</t>
        </r>
      </text>
    </comment>
    <comment ref="L55" authorId="0">
      <text>
        <r>
          <rPr>
            <sz val="10"/>
            <rFont val="Arial"/>
            <family val="2"/>
          </rPr>
          <t xml:space="preserve">Pulled from HD_LOW_Comp_Sales.xlsx, LOW tab, row 21 (as of 2026-08-20). Full detail (weeks in quarter, FX impact, Total-comp figure, revenue, methodology notes) in HD_LOW_Source_Data.xlsx.</t>
        </r>
      </text>
    </comment>
    <comment ref="L56" authorId="0">
      <text>
        <r>
          <rPr>
            <sz val="10"/>
            <rFont val="Arial"/>
            <family val="2"/>
          </rPr>
          <t xml:space="preserve">Pulled from HD_LOW_Comp_Sales.xlsx, LOW tab, row 22 (as of 2026-08-20). Full detail (weeks in quarter, FX impact, Total-comp figure, revenue, methodology notes) in HD_LOW_Source_Data.xlsx.</t>
        </r>
      </text>
    </comment>
    <comment ref="L57" authorId="0">
      <text>
        <r>
          <rPr>
            <sz val="10"/>
            <rFont val="Arial"/>
            <family val="2"/>
          </rPr>
          <t xml:space="preserve">Pulled from HD_LOW_Comp_Sales.xlsx, LOW tab, row 23 (as of 2026-08-20). Full detail (weeks in quarter, FX impact, Total-comp figure, revenue, methodology notes) in HD_LOW_Source_Data.xlsx.</t>
        </r>
      </text>
    </comment>
    <comment ref="L58" authorId="0">
      <text>
        <r>
          <rPr>
            <sz val="10"/>
            <rFont val="Arial"/>
            <family val="2"/>
          </rPr>
          <t xml:space="preserve">Pulled from HD_LOW_Comp_Sales.xlsx, LOW tab, row 24 (as of 2026-08-20). Full detail (weeks in quarter, FX impact, Total-comp figure, revenue, methodology notes) in HD_LOW_Source_Data.xlsx.</t>
        </r>
      </text>
    </comment>
    <comment ref="L59" authorId="0">
      <text>
        <r>
          <rPr>
            <sz val="10"/>
            <rFont val="Arial"/>
            <family val="2"/>
          </rPr>
          <t xml:space="preserve">Pulled from HD_LOW_Comp_Sales.xlsx, LOW tab, row 25 (as of 2026-08-20). Full detail (weeks in quarter, FX impact, Total-comp figure, revenue, methodology notes) in HD_LOW_Source_Data.xlsx.</t>
        </r>
      </text>
    </comment>
    <comment ref="L60" authorId="0">
      <text>
        <r>
          <rPr>
            <sz val="10"/>
            <rFont val="Arial"/>
            <family val="2"/>
          </rPr>
          <t xml:space="preserve">Pulled from HD_LOW_Comp_Sales.xlsx, LOW tab, row 26 (as of 2026-08-20). Full detail (weeks in quarter, FX impact, Total-comp figure, revenue, methodology notes) in HD_LOW_Source_Data.xlsx.</t>
        </r>
      </text>
    </comment>
    <comment ref="L61" authorId="0">
      <text>
        <r>
          <rPr>
            <sz val="10"/>
            <rFont val="Arial"/>
            <family val="2"/>
          </rPr>
          <t xml:space="preserve">Pulled from HD_LOW_Comp_Sales.xlsx, LOW tab, row 27 (as of 2026-08-20). Full detail (weeks in quarter, FX impact, Total-comp figure, revenue, methodology notes) in HD_LOW_Source_Data.xlsx.</t>
        </r>
      </text>
    </comment>
    <comment ref="L62" authorId="0">
      <text>
        <r>
          <rPr>
            <sz val="10"/>
            <rFont val="Arial"/>
            <family val="2"/>
          </rPr>
          <t xml:space="preserve">Pulled from HD_LOW_Comp_Sales.xlsx, LOW tab, row 28 (as of 2026-08-20). Full detail (weeks in quarter, FX impact, Total-comp figure, revenue, methodology notes) in HD_LOW_Source_Data.xlsx.</t>
        </r>
      </text>
    </comment>
    <comment ref="L63" authorId="0">
      <text>
        <r>
          <rPr>
            <sz val="10"/>
            <rFont val="Arial"/>
            <family val="2"/>
          </rPr>
          <t xml:space="preserve">Pulled from HD_LOW_Comp_Sales.xlsx, LOW tab, row 29 (as of 2026-08-20). Full detail (weeks in quarter, FX impact, Total-comp figure, revenue, methodology notes) in HD_LOW_Source_Data.xlsx.</t>
        </r>
      </text>
    </comment>
    <comment ref="L64" authorId="0">
      <text>
        <r>
          <rPr>
            <sz val="10"/>
            <rFont val="Arial"/>
            <family val="2"/>
          </rPr>
          <t xml:space="preserve">Pulled from HD_LOW_Comp_Sales.xlsx, LOW tab, row 30 (as of 2026-08-20). Full detail (weeks in quarter, FX impact, Total-comp figure, revenue, methodology notes) in HD_LOW_Source_Data.xlsx.</t>
        </r>
      </text>
    </comment>
    <comment ref="L65" authorId="0">
      <text>
        <r>
          <rPr>
            <sz val="10"/>
            <rFont val="Arial"/>
            <family val="2"/>
          </rPr>
          <t xml:space="preserve">Pulled from HD_LOW_Comp_Sales.xlsx, LOW tab, row 31 (as of 2026-08-20). Full detail (weeks in quarter, FX impact, Total-comp figure, revenue, methodology notes) in HD_LOW_Source_Data.xlsx.</t>
        </r>
      </text>
    </comment>
    <comment ref="L66" authorId="0">
      <text>
        <r>
          <rPr>
            <sz val="10"/>
            <rFont val="Arial"/>
            <family val="2"/>
          </rPr>
          <t xml:space="preserve">Pulled from HD_LOW_Comp_Sales.xlsx, LOW tab, row 32 (as of 2026-08-20). Full detail (weeks in quarter, FX impact, Total-comp figure, revenue, methodology notes) in HD_LOW_Source_Data.xlsx.</t>
        </r>
      </text>
    </comment>
    <comment ref="L67" authorId="0">
      <text>
        <r>
          <rPr>
            <sz val="10"/>
            <rFont val="Arial"/>
            <family val="2"/>
          </rPr>
          <t xml:space="preserve">Pulled from HD_LOW_Comp_Sales.xlsx, LOW tab, row 33 (as of 2026-08-20). Full detail (weeks in quarter, FX impact, Total-comp figure, revenue, methodology notes) in HD_LOW_Source_Data.xlsx.</t>
        </r>
      </text>
    </comment>
    <comment ref="L68" authorId="0">
      <text>
        <r>
          <rPr>
            <sz val="10"/>
            <rFont val="Arial"/>
            <family val="2"/>
          </rPr>
          <t xml:space="preserve">Pulled from HD_LOW_Comp_Sales.xlsx, LOW tab, row 34 (as of 2026-08-20). Full detail (weeks in quarter, FX impact, Total-comp figure, revenue, methodology notes) in HD_LOW_Source_Data.xlsx.</t>
        </r>
      </text>
    </comment>
    <comment ref="L69" authorId="0">
      <text>
        <r>
          <rPr>
            <sz val="10"/>
            <rFont val="Arial"/>
            <family val="2"/>
          </rPr>
          <t xml:space="preserve">Live link to 'Point Estimates'!B92 -- the blended (85% regression / 15% LIRA) point estimate. Updates automatically if the methodology on that tab changes.</t>
        </r>
      </text>
    </comment>
    <comment ref="L70" authorId="0">
      <text>
        <r>
          <rPr>
            <sz val="10"/>
            <rFont val="Arial"/>
            <family val="2"/>
          </rPr>
          <t xml:space="preserve">Live link to 'Point Estimates'!B107 -- the blended (85% regression / 15% LIRA) point estimate. Updates automatically if the methodology on that tab changes.</t>
        </r>
      </text>
    </comment>
    <comment ref="L71" authorId="0">
      <text>
        <r>
          <rPr>
            <sz val="10"/>
            <rFont val="Arial"/>
            <family val="2"/>
          </rPr>
          <t xml:space="preserve">Live link to 'Point Estimates'!B125 -- the blended (85% regression / 15% LIRA) point estimate. Updates automatically if the methodology on that tab changes.</t>
        </r>
      </text>
    </comment>
    <comment ref="L72" authorId="0">
      <text>
        <r>
          <rPr>
            <sz val="10"/>
            <rFont val="Arial"/>
            <family val="2"/>
          </rPr>
          <t xml:space="preserve">Live link to 'Point Estimates'!B145 -- the blended (85% regression / 15% LIRA) point estimate. Updates automatically if the methodology on that tab changes.</t>
        </r>
      </text>
    </comment>
    <comment ref="M5" authorId="0">
      <text>
        <r>
          <rPr>
            <sz val="10"/>
            <rFont val="Arial"/>
            <family val="2"/>
          </rPr>
          <t xml:space="preserve">Pulled from NAICS444_Daily_Quarterly_Aggregation.xlsx, Quarterly tab, row 5.</t>
        </r>
      </text>
    </comment>
    <comment ref="M6" authorId="0">
      <text>
        <r>
          <rPr>
            <sz val="10"/>
            <rFont val="Arial"/>
            <family val="2"/>
          </rPr>
          <t xml:space="preserve">Pulled from NAICS444_Daily_Quarterly_Aggregation.xlsx, Quarterly tab, row 6.</t>
        </r>
      </text>
    </comment>
    <comment ref="M7" authorId="0">
      <text>
        <r>
          <rPr>
            <sz val="10"/>
            <rFont val="Arial"/>
            <family val="2"/>
          </rPr>
          <t xml:space="preserve">Pulled from NAICS444_Daily_Quarterly_Aggregation.xlsx, Quarterly tab, row 7.</t>
        </r>
      </text>
    </comment>
    <comment ref="M8" authorId="0">
      <text>
        <r>
          <rPr>
            <sz val="10"/>
            <rFont val="Arial"/>
            <family val="2"/>
          </rPr>
          <t xml:space="preserve">Pulled from NAICS444_Daily_Quarterly_Aggregation.xlsx, Quarterly tab, row 8.</t>
        </r>
      </text>
    </comment>
    <comment ref="M9" authorId="0">
      <text>
        <r>
          <rPr>
            <sz val="10"/>
            <rFont val="Arial"/>
            <family val="2"/>
          </rPr>
          <t xml:space="preserve">Pulled from NAICS444_Daily_Quarterly_Aggregation.xlsx, Quarterly tab, row 9.</t>
        </r>
      </text>
    </comment>
    <comment ref="M10" authorId="0">
      <text>
        <r>
          <rPr>
            <sz val="10"/>
            <rFont val="Arial"/>
            <family val="2"/>
          </rPr>
          <t xml:space="preserve">Pulled from NAICS444_Daily_Quarterly_Aggregation.xlsx, Quarterly tab, row 10.</t>
        </r>
      </text>
    </comment>
    <comment ref="M11" authorId="0">
      <text>
        <r>
          <rPr>
            <sz val="10"/>
            <rFont val="Arial"/>
            <family val="2"/>
          </rPr>
          <t xml:space="preserve">Pulled from NAICS444_Daily_Quarterly_Aggregation.xlsx, Quarterly tab, row 11.</t>
        </r>
      </text>
    </comment>
    <comment ref="M12" authorId="0">
      <text>
        <r>
          <rPr>
            <sz val="10"/>
            <rFont val="Arial"/>
            <family val="2"/>
          </rPr>
          <t xml:space="preserve">Pulled from NAICS444_Daily_Quarterly_Aggregation.xlsx, Quarterly tab, row 12.</t>
        </r>
      </text>
    </comment>
    <comment ref="M13" authorId="0">
      <text>
        <r>
          <rPr>
            <sz val="10"/>
            <rFont val="Arial"/>
            <family val="2"/>
          </rPr>
          <t xml:space="preserve">Pulled from NAICS444_Daily_Quarterly_Aggregation.xlsx, Quarterly tab, row 13.</t>
        </r>
      </text>
    </comment>
    <comment ref="M14" authorId="0">
      <text>
        <r>
          <rPr>
            <sz val="10"/>
            <rFont val="Arial"/>
            <family val="2"/>
          </rPr>
          <t xml:space="preserve">Pulled from NAICS444_Daily_Quarterly_Aggregation.xlsx, Quarterly tab, row 14.</t>
        </r>
      </text>
    </comment>
    <comment ref="M15" authorId="0">
      <text>
        <r>
          <rPr>
            <sz val="10"/>
            <rFont val="Arial"/>
            <family val="2"/>
          </rPr>
          <t xml:space="preserve">Pulled from NAICS444_Daily_Quarterly_Aggregation.xlsx, Quarterly tab, row 15.</t>
        </r>
      </text>
    </comment>
    <comment ref="M16" authorId="0">
      <text>
        <r>
          <rPr>
            <sz val="10"/>
            <rFont val="Arial"/>
            <family val="2"/>
          </rPr>
          <t xml:space="preserve">Pulled from NAICS444_Daily_Quarterly_Aggregation.xlsx, Quarterly tab, row 16.</t>
        </r>
      </text>
    </comment>
    <comment ref="M17" authorId="0">
      <text>
        <r>
          <rPr>
            <sz val="10"/>
            <rFont val="Arial"/>
            <family val="2"/>
          </rPr>
          <t xml:space="preserve">Pulled from NAICS444_Daily_Quarterly_Aggregation.xlsx, Quarterly tab, row 17.</t>
        </r>
      </text>
    </comment>
    <comment ref="M18" authorId="0">
      <text>
        <r>
          <rPr>
            <sz val="10"/>
            <rFont val="Arial"/>
            <family val="2"/>
          </rPr>
          <t xml:space="preserve">Pulled from NAICS444_Daily_Quarterly_Aggregation.xlsx, Quarterly tab, row 18.</t>
        </r>
      </text>
    </comment>
    <comment ref="M19" authorId="0">
      <text>
        <r>
          <rPr>
            <sz val="10"/>
            <rFont val="Arial"/>
            <family val="2"/>
          </rPr>
          <t xml:space="preserve">Pulled from NAICS444_Daily_Quarterly_Aggregation.xlsx, Quarterly tab, row 19.</t>
        </r>
      </text>
    </comment>
    <comment ref="M20" authorId="0">
      <text>
        <r>
          <rPr>
            <sz val="10"/>
            <rFont val="Arial"/>
            <family val="2"/>
          </rPr>
          <t xml:space="preserve">Pulled from NAICS444_Daily_Quarterly_Aggregation.xlsx, Quarterly tab, row 20.</t>
        </r>
      </text>
    </comment>
    <comment ref="M21" authorId="0">
      <text>
        <r>
          <rPr>
            <sz val="10"/>
            <rFont val="Arial"/>
            <family val="2"/>
          </rPr>
          <t xml:space="preserve">Pulled from NAICS444_Daily_Quarterly_Aggregation.xlsx, Quarterly tab, row 21.</t>
        </r>
      </text>
    </comment>
    <comment ref="M22" authorId="0">
      <text>
        <r>
          <rPr>
            <sz val="10"/>
            <rFont val="Arial"/>
            <family val="2"/>
          </rPr>
          <t xml:space="preserve">Pulled from NAICS444_Daily_Quarterly_Aggregation.xlsx, Quarterly tab, row 22.</t>
        </r>
      </text>
    </comment>
    <comment ref="M23" authorId="0">
      <text>
        <r>
          <rPr>
            <sz val="10"/>
            <rFont val="Arial"/>
            <family val="2"/>
          </rPr>
          <t xml:space="preserve">Pulled from NAICS444_Daily_Quarterly_Aggregation.xlsx, Quarterly tab, row 23.</t>
        </r>
      </text>
    </comment>
    <comment ref="M24" authorId="0">
      <text>
        <r>
          <rPr>
            <sz val="10"/>
            <rFont val="Arial"/>
            <family val="2"/>
          </rPr>
          <t xml:space="preserve">Pulled from NAICS444_Daily_Quarterly_Aggregation.xlsx, Quarterly tab, row 24.</t>
        </r>
      </text>
    </comment>
    <comment ref="M25" authorId="0">
      <text>
        <r>
          <rPr>
            <sz val="10"/>
            <rFont val="Arial"/>
            <family val="2"/>
          </rPr>
          <t xml:space="preserve">Pulled from NAICS444_Daily_Quarterly_Aggregation.xlsx, Quarterly tab, row 25.</t>
        </r>
      </text>
    </comment>
    <comment ref="M26" authorId="0">
      <text>
        <r>
          <rPr>
            <sz val="10"/>
            <rFont val="Arial"/>
            <family val="2"/>
          </rPr>
          <t xml:space="preserve">Pulled from NAICS444_Daily_Quarterly_Aggregation.xlsx, Quarterly tab, row 26.</t>
        </r>
      </text>
    </comment>
    <comment ref="M27" authorId="0">
      <text>
        <r>
          <rPr>
            <sz val="10"/>
            <rFont val="Arial"/>
            <family val="2"/>
          </rPr>
          <t xml:space="preserve">Pulled from NAICS444_Daily_Quarterly_Aggregation.xlsx, Quarterly tab, row 27.</t>
        </r>
      </text>
    </comment>
    <comment ref="M28" authorId="0">
      <text>
        <r>
          <rPr>
            <sz val="10"/>
            <rFont val="Arial"/>
            <family val="2"/>
          </rPr>
          <t xml:space="preserve">Pulled from NAICS444_Daily_Quarterly_Aggregation.xlsx, Quarterly tab, row 28.</t>
        </r>
      </text>
    </comment>
    <comment ref="M29" authorId="0">
      <text>
        <r>
          <rPr>
            <sz val="10"/>
            <rFont val="Arial"/>
            <family val="2"/>
          </rPr>
          <t xml:space="preserve">Pulled from NAICS444_Daily_Quarterly_Aggregation.xlsx, Quarterly tab, row 29.</t>
        </r>
      </text>
    </comment>
    <comment ref="M30" authorId="0">
      <text>
        <r>
          <rPr>
            <sz val="10"/>
            <rFont val="Arial"/>
            <family val="2"/>
          </rPr>
          <t xml:space="preserve">Pulled from NAICS444_Daily_Quarterly_Aggregation.xlsx, Quarterly tab, row 30.</t>
        </r>
      </text>
    </comment>
    <comment ref="M31" authorId="0">
      <text>
        <r>
          <rPr>
            <sz val="10"/>
            <rFont val="Arial"/>
            <family val="2"/>
          </rPr>
          <t xml:space="preserve">Pulled from NAICS444_Daily_Quarterly_Aggregation.xlsx, Quarterly tab, row 31.</t>
        </r>
      </text>
    </comment>
    <comment ref="M32" authorId="0">
      <text>
        <r>
          <rPr>
            <sz val="10"/>
            <rFont val="Arial"/>
            <family val="2"/>
          </rPr>
          <t xml:space="preserve">Pulled from NAICS444_Daily_Quarterly_Aggregation.xlsx, Quarterly tab, row 32.</t>
        </r>
      </text>
    </comment>
    <comment ref="M33" authorId="0">
      <text>
        <r>
          <rPr>
            <sz val="10"/>
            <rFont val="Arial"/>
            <family val="2"/>
          </rPr>
          <t xml:space="preserve">Pulled from NAICS444_Daily_Quarterly_Aggregation.xlsx, Quarterly tab, row 33.</t>
        </r>
      </text>
    </comment>
    <comment ref="M34" authorId="0">
      <text>
        <r>
          <rPr>
            <sz val="10"/>
            <rFont val="Arial"/>
            <family val="2"/>
          </rPr>
          <t xml:space="preserve">Pulled from NAICS444_Daily_Quarterly_Aggregation.xlsx, Quarterly tab, row 34.</t>
        </r>
      </text>
    </comment>
    <comment ref="M39" authorId="0">
      <text>
        <r>
          <rPr>
            <sz val="10"/>
            <rFont val="Arial"/>
            <family val="2"/>
          </rPr>
          <t xml:space="preserve">Pulled from NAICS444_Daily_Quarterly_Aggregation.xlsx, Quarterly tab, row 35.</t>
        </r>
      </text>
    </comment>
    <comment ref="M40" authorId="0">
      <text>
        <r>
          <rPr>
            <sz val="10"/>
            <rFont val="Arial"/>
            <family val="2"/>
          </rPr>
          <t xml:space="preserve">Pulled from NAICS444_Daily_Quarterly_Aggregation.xlsx, Quarterly tab, row 36.</t>
        </r>
      </text>
    </comment>
    <comment ref="M41" authorId="0">
      <text>
        <r>
          <rPr>
            <sz val="10"/>
            <rFont val="Arial"/>
            <family val="2"/>
          </rPr>
          <t xml:space="preserve">Pulled from NAICS444_Daily_Quarterly_Aggregation.xlsx, Quarterly tab, row 37.</t>
        </r>
      </text>
    </comment>
    <comment ref="M42" authorId="0">
      <text>
        <r>
          <rPr>
            <sz val="10"/>
            <rFont val="Arial"/>
            <family val="2"/>
          </rPr>
          <t xml:space="preserve">Pulled from NAICS444_Daily_Quarterly_Aggregation.xlsx, Quarterly tab, row 38.</t>
        </r>
      </text>
    </comment>
    <comment ref="M43" authorId="0">
      <text>
        <r>
          <rPr>
            <sz val="10"/>
            <rFont val="Arial"/>
            <family val="2"/>
          </rPr>
          <t xml:space="preserve">Pulled from NAICS444_Daily_Quarterly_Aggregation.xlsx, Quarterly tab, row 39.</t>
        </r>
      </text>
    </comment>
    <comment ref="M44" authorId="0">
      <text>
        <r>
          <rPr>
            <sz val="10"/>
            <rFont val="Arial"/>
            <family val="2"/>
          </rPr>
          <t xml:space="preserve">Pulled from NAICS444_Daily_Quarterly_Aggregation.xlsx, Quarterly tab, row 40.</t>
        </r>
      </text>
    </comment>
    <comment ref="M45" authorId="0">
      <text>
        <r>
          <rPr>
            <sz val="10"/>
            <rFont val="Arial"/>
            <family val="2"/>
          </rPr>
          <t xml:space="preserve">Pulled from NAICS444_Daily_Quarterly_Aggregation.xlsx, Quarterly tab, row 41.</t>
        </r>
      </text>
    </comment>
    <comment ref="M46" authorId="0">
      <text>
        <r>
          <rPr>
            <sz val="10"/>
            <rFont val="Arial"/>
            <family val="2"/>
          </rPr>
          <t xml:space="preserve">Pulled from NAICS444_Daily_Quarterly_Aggregation.xlsx, Quarterly tab, row 42.</t>
        </r>
      </text>
    </comment>
    <comment ref="M47" authorId="0">
      <text>
        <r>
          <rPr>
            <sz val="10"/>
            <rFont val="Arial"/>
            <family val="2"/>
          </rPr>
          <t xml:space="preserve">Pulled from NAICS444_Daily_Quarterly_Aggregation.xlsx, Quarterly tab, row 43.</t>
        </r>
      </text>
    </comment>
    <comment ref="M48" authorId="0">
      <text>
        <r>
          <rPr>
            <sz val="10"/>
            <rFont val="Arial"/>
            <family val="2"/>
          </rPr>
          <t xml:space="preserve">Pulled from NAICS444_Daily_Quarterly_Aggregation.xlsx, Quarterly tab, row 44.</t>
        </r>
      </text>
    </comment>
    <comment ref="M49" authorId="0">
      <text>
        <r>
          <rPr>
            <sz val="10"/>
            <rFont val="Arial"/>
            <family val="2"/>
          </rPr>
          <t xml:space="preserve">Pulled from NAICS444_Daily_Quarterly_Aggregation.xlsx, Quarterly tab, row 45.</t>
        </r>
      </text>
    </comment>
    <comment ref="M50" authorId="0">
      <text>
        <r>
          <rPr>
            <sz val="10"/>
            <rFont val="Arial"/>
            <family val="2"/>
          </rPr>
          <t xml:space="preserve">Pulled from NAICS444_Daily_Quarterly_Aggregation.xlsx, Quarterly tab, row 46.</t>
        </r>
      </text>
    </comment>
    <comment ref="M51" authorId="0">
      <text>
        <r>
          <rPr>
            <sz val="10"/>
            <rFont val="Arial"/>
            <family val="2"/>
          </rPr>
          <t xml:space="preserve">Pulled from NAICS444_Daily_Quarterly_Aggregation.xlsx, Quarterly tab, row 47.</t>
        </r>
      </text>
    </comment>
    <comment ref="M52" authorId="0">
      <text>
        <r>
          <rPr>
            <sz val="10"/>
            <rFont val="Arial"/>
            <family val="2"/>
          </rPr>
          <t xml:space="preserve">Pulled from NAICS444_Daily_Quarterly_Aggregation.xlsx, Quarterly tab, row 48.</t>
        </r>
      </text>
    </comment>
    <comment ref="M53" authorId="0">
      <text>
        <r>
          <rPr>
            <sz val="10"/>
            <rFont val="Arial"/>
            <family val="2"/>
          </rPr>
          <t xml:space="preserve">Pulled from NAICS444_Daily_Quarterly_Aggregation.xlsx, Quarterly tab, row 49.</t>
        </r>
      </text>
    </comment>
    <comment ref="M54" authorId="0">
      <text>
        <r>
          <rPr>
            <sz val="10"/>
            <rFont val="Arial"/>
            <family val="2"/>
          </rPr>
          <t xml:space="preserve">Pulled from NAICS444_Daily_Quarterly_Aggregation.xlsx, Quarterly tab, row 50.</t>
        </r>
      </text>
    </comment>
    <comment ref="M55" authorId="0">
      <text>
        <r>
          <rPr>
            <sz val="10"/>
            <rFont val="Arial"/>
            <family val="2"/>
          </rPr>
          <t xml:space="preserve">Pulled from NAICS444_Daily_Quarterly_Aggregation.xlsx, Quarterly tab, row 51.</t>
        </r>
      </text>
    </comment>
    <comment ref="M56" authorId="0">
      <text>
        <r>
          <rPr>
            <sz val="10"/>
            <rFont val="Arial"/>
            <family val="2"/>
          </rPr>
          <t xml:space="preserve">Pulled from NAICS444_Daily_Quarterly_Aggregation.xlsx, Quarterly tab, row 52.</t>
        </r>
      </text>
    </comment>
    <comment ref="M57" authorId="0">
      <text>
        <r>
          <rPr>
            <sz val="10"/>
            <rFont val="Arial"/>
            <family val="2"/>
          </rPr>
          <t xml:space="preserve">Pulled from NAICS444_Daily_Quarterly_Aggregation.xlsx, Quarterly tab, row 53.</t>
        </r>
      </text>
    </comment>
    <comment ref="M58" authorId="0">
      <text>
        <r>
          <rPr>
            <sz val="10"/>
            <rFont val="Arial"/>
            <family val="2"/>
          </rPr>
          <t xml:space="preserve">Pulled from NAICS444_Daily_Quarterly_Aggregation.xlsx, Quarterly tab, row 54.</t>
        </r>
      </text>
    </comment>
    <comment ref="M59" authorId="0">
      <text>
        <r>
          <rPr>
            <sz val="10"/>
            <rFont val="Arial"/>
            <family val="2"/>
          </rPr>
          <t xml:space="preserve">Pulled from NAICS444_Daily_Quarterly_Aggregation.xlsx, Quarterly tab, row 55.</t>
        </r>
      </text>
    </comment>
    <comment ref="M60" authorId="0">
      <text>
        <r>
          <rPr>
            <sz val="10"/>
            <rFont val="Arial"/>
            <family val="2"/>
          </rPr>
          <t xml:space="preserve">Pulled from NAICS444_Daily_Quarterly_Aggregation.xlsx, Quarterly tab, row 56.</t>
        </r>
      </text>
    </comment>
    <comment ref="M61" authorId="0">
      <text>
        <r>
          <rPr>
            <sz val="10"/>
            <rFont val="Arial"/>
            <family val="2"/>
          </rPr>
          <t xml:space="preserve">Pulled from NAICS444_Daily_Quarterly_Aggregation.xlsx, Quarterly tab, row 57.</t>
        </r>
      </text>
    </comment>
    <comment ref="M62" authorId="0">
      <text>
        <r>
          <rPr>
            <sz val="10"/>
            <rFont val="Arial"/>
            <family val="2"/>
          </rPr>
          <t xml:space="preserve">Pulled from NAICS444_Daily_Quarterly_Aggregation.xlsx, Quarterly tab, row 58.</t>
        </r>
      </text>
    </comment>
    <comment ref="M63" authorId="0">
      <text>
        <r>
          <rPr>
            <sz val="10"/>
            <rFont val="Arial"/>
            <family val="2"/>
          </rPr>
          <t xml:space="preserve">Pulled from NAICS444_Daily_Quarterly_Aggregation.xlsx, Quarterly tab, row 59.</t>
        </r>
      </text>
    </comment>
    <comment ref="M64" authorId="0">
      <text>
        <r>
          <rPr>
            <sz val="10"/>
            <rFont val="Arial"/>
            <family val="2"/>
          </rPr>
          <t xml:space="preserve">Pulled from NAICS444_Daily_Quarterly_Aggregation.xlsx, Quarterly tab, row 60.</t>
        </r>
      </text>
    </comment>
    <comment ref="M65" authorId="0">
      <text>
        <r>
          <rPr>
            <sz val="10"/>
            <rFont val="Arial"/>
            <family val="2"/>
          </rPr>
          <t xml:space="preserve">Pulled from NAICS444_Daily_Quarterly_Aggregation.xlsx, Quarterly tab, row 61.</t>
        </r>
      </text>
    </comment>
    <comment ref="M66" authorId="0">
      <text>
        <r>
          <rPr>
            <sz val="10"/>
            <rFont val="Arial"/>
            <family val="2"/>
          </rPr>
          <t xml:space="preserve">Pulled from NAICS444_Daily_Quarterly_Aggregation.xlsx, Quarterly tab, row 62.</t>
        </r>
      </text>
    </comment>
    <comment ref="M67" authorId="0">
      <text>
        <r>
          <rPr>
            <sz val="10"/>
            <rFont val="Arial"/>
            <family val="2"/>
          </rPr>
          <t xml:space="preserve">Pulled from NAICS444_Daily_Quarterly_Aggregation.xlsx, Quarterly tab, row 63.</t>
        </r>
      </text>
    </comment>
    <comment ref="M68" authorId="0">
      <text>
        <r>
          <rPr>
            <sz val="10"/>
            <rFont val="Arial"/>
            <family val="2"/>
          </rPr>
          <t xml:space="preserve">Pulled from NAICS444_Daily_Quarterly_Aggregation.xlsx, Quarterly tab, row 64.</t>
        </r>
      </text>
    </comment>
    <comment ref="N23" authorId="0">
      <text>
        <r>
          <rPr>
            <sz val="10"/>
            <rFont val="Arial"/>
            <family val="2"/>
          </rPr>
          <t xml:space="preserve">Harvard JCHS LIRA quarter 2023-Q3 (Historical), simple label-mapped to Q3 FY2023. See LIRA vs Comp Correlation tab for the (weak) measured relationship with comps.</t>
        </r>
      </text>
    </comment>
    <comment ref="N24" authorId="0">
      <text>
        <r>
          <rPr>
            <sz val="10"/>
            <rFont val="Arial"/>
            <family val="2"/>
          </rPr>
          <t xml:space="preserve">Harvard JCHS LIRA quarter 2023-Q4 (Historical), simple label-mapped to Q4 FY2023. See LIRA vs Comp Correlation tab for the (weak) measured relationship with comps.</t>
        </r>
      </text>
    </comment>
    <comment ref="N25" authorId="0">
      <text>
        <r>
          <rPr>
            <sz val="10"/>
            <rFont val="Arial"/>
            <family val="2"/>
          </rPr>
          <t xml:space="preserve">Harvard JCHS LIRA quarter 2024-Q1 (Historical), simple label-mapped to Q1 FY2024. See LIRA vs Comp Correlation tab for the (weak) measured relationship with comps.</t>
        </r>
      </text>
    </comment>
    <comment ref="N26" authorId="0">
      <text>
        <r>
          <rPr>
            <sz val="10"/>
            <rFont val="Arial"/>
            <family val="2"/>
          </rPr>
          <t xml:space="preserve">Harvard JCHS LIRA quarter 2024-Q2 (Historical), simple label-mapped to Q2 FY2024. See LIRA vs Comp Correlation tab for the (weak) measured relationship with comps.</t>
        </r>
      </text>
    </comment>
    <comment ref="N27" authorId="0">
      <text>
        <r>
          <rPr>
            <sz val="10"/>
            <rFont val="Arial"/>
            <family val="2"/>
          </rPr>
          <t xml:space="preserve">Harvard JCHS LIRA quarter 2024-Q3 (Historical), simple label-mapped to Q3 FY2024. See LIRA vs Comp Correlation tab for the (weak) measured relationship with comps.</t>
        </r>
      </text>
    </comment>
    <comment ref="N28" authorId="0">
      <text>
        <r>
          <rPr>
            <sz val="10"/>
            <rFont val="Arial"/>
            <family val="2"/>
          </rPr>
          <t xml:space="preserve">Harvard JCHS LIRA quarter 2024-Q4 (Historical), simple label-mapped to Q4 FY2024. See LIRA vs Comp Correlation tab for the (weak) measured relationship with comps.</t>
        </r>
      </text>
    </comment>
    <comment ref="N29" authorId="0">
      <text>
        <r>
          <rPr>
            <sz val="10"/>
            <rFont val="Arial"/>
            <family val="2"/>
          </rPr>
          <t xml:space="preserve">Harvard JCHS LIRA quarter 2025-Q1 (Historical), simple label-mapped to Q1 FY2025. See LIRA vs Comp Correlation tab for the (weak) measured relationship with comps.</t>
        </r>
      </text>
    </comment>
    <comment ref="N30" authorId="0">
      <text>
        <r>
          <rPr>
            <sz val="10"/>
            <rFont val="Arial"/>
            <family val="2"/>
          </rPr>
          <t xml:space="preserve">Harvard JCHS LIRA quarter 2025-Q2 (Historical), simple label-mapped to Q2 FY2025. See LIRA vs Comp Correlation tab for the (weak) measured relationship with comps.</t>
        </r>
      </text>
    </comment>
    <comment ref="N31" authorId="0">
      <text>
        <r>
          <rPr>
            <sz val="10"/>
            <rFont val="Arial"/>
            <family val="2"/>
          </rPr>
          <t xml:space="preserve">Harvard JCHS LIRA quarter 2025-Q3 (Historical), simple label-mapped to Q3 FY2025. See LIRA vs Comp Correlation tab for the (weak) measured relationship with comps.</t>
        </r>
      </text>
    </comment>
    <comment ref="N32" authorId="0">
      <text>
        <r>
          <rPr>
            <sz val="10"/>
            <rFont val="Arial"/>
            <family val="2"/>
          </rPr>
          <t xml:space="preserve">Harvard JCHS LIRA quarter 2025-Q4 (Historical), simple label-mapped to Q4 FY2025. See LIRA vs Comp Correlation tab for the (weak) measured relationship with comps.</t>
        </r>
      </text>
    </comment>
    <comment ref="N33" authorId="0">
      <text>
        <r>
          <rPr>
            <sz val="10"/>
            <rFont val="Arial"/>
            <family val="2"/>
          </rPr>
          <t xml:space="preserve">Harvard JCHS LIRA quarter 2026-Q1 (Historical), simple label-mapped to Q1 FY2026. See LIRA vs Comp Correlation tab for the (weak) measured relationship with comps.</t>
        </r>
      </text>
    </comment>
    <comment ref="N34" authorId="0">
      <text>
        <r>
          <rPr>
            <sz val="10"/>
            <rFont val="Arial"/>
            <family val="2"/>
          </rPr>
          <t xml:space="preserve">Harvard JCHS LIRA quarter 2026-Q2 (Historical), simple label-mapped to Q2 FY2026. See LIRA vs Comp Correlation tab for the (weak) measured relationship with comps.</t>
        </r>
      </text>
    </comment>
    <comment ref="N35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  <comment ref="N36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  <comment ref="N37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  <comment ref="N38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  <comment ref="N57" authorId="0">
      <text>
        <r>
          <rPr>
            <sz val="10"/>
            <rFont val="Arial"/>
            <family val="2"/>
          </rPr>
          <t xml:space="preserve">Harvard JCHS LIRA quarter 2023-Q3 (Historical), simple label-mapped to Q3 FY2023. See LIRA vs Comp Correlation tab for the (weak) measured relationship with comps.</t>
        </r>
      </text>
    </comment>
    <comment ref="N58" authorId="0">
      <text>
        <r>
          <rPr>
            <sz val="10"/>
            <rFont val="Arial"/>
            <family val="2"/>
          </rPr>
          <t xml:space="preserve">Harvard JCHS LIRA quarter 2023-Q4 (Historical), simple label-mapped to Q4 FY2023. See LIRA vs Comp Correlation tab for the (weak) measured relationship with comps.</t>
        </r>
      </text>
    </comment>
    <comment ref="N59" authorId="0">
      <text>
        <r>
          <rPr>
            <sz val="10"/>
            <rFont val="Arial"/>
            <family val="2"/>
          </rPr>
          <t xml:space="preserve">Harvard JCHS LIRA quarter 2024-Q1 (Historical), simple label-mapped to Q1 FY2024. See LIRA vs Comp Correlation tab for the (weak) measured relationship with comps.</t>
        </r>
      </text>
    </comment>
    <comment ref="N60" authorId="0">
      <text>
        <r>
          <rPr>
            <sz val="10"/>
            <rFont val="Arial"/>
            <family val="2"/>
          </rPr>
          <t xml:space="preserve">Harvard JCHS LIRA quarter 2024-Q2 (Historical), simple label-mapped to Q2 FY2024. See LIRA vs Comp Correlation tab for the (weak) measured relationship with comps.</t>
        </r>
      </text>
    </comment>
    <comment ref="N61" authorId="0">
      <text>
        <r>
          <rPr>
            <sz val="10"/>
            <rFont val="Arial"/>
            <family val="2"/>
          </rPr>
          <t xml:space="preserve">Harvard JCHS LIRA quarter 2024-Q3 (Historical), simple label-mapped to Q3 FY2024. See LIRA vs Comp Correlation tab for the (weak) measured relationship with comps.</t>
        </r>
      </text>
    </comment>
    <comment ref="N62" authorId="0">
      <text>
        <r>
          <rPr>
            <sz val="10"/>
            <rFont val="Arial"/>
            <family val="2"/>
          </rPr>
          <t xml:space="preserve">Harvard JCHS LIRA quarter 2024-Q4 (Historical), simple label-mapped to Q4 FY2024. See LIRA vs Comp Correlation tab for the (weak) measured relationship with comps.</t>
        </r>
      </text>
    </comment>
    <comment ref="N63" authorId="0">
      <text>
        <r>
          <rPr>
            <sz val="10"/>
            <rFont val="Arial"/>
            <family val="2"/>
          </rPr>
          <t xml:space="preserve">Harvard JCHS LIRA quarter 2025-Q1 (Historical), simple label-mapped to Q1 FY2025. See LIRA vs Comp Correlation tab for the (weak) measured relationship with comps.</t>
        </r>
      </text>
    </comment>
    <comment ref="N64" authorId="0">
      <text>
        <r>
          <rPr>
            <sz val="10"/>
            <rFont val="Arial"/>
            <family val="2"/>
          </rPr>
          <t xml:space="preserve">Harvard JCHS LIRA quarter 2025-Q2 (Historical), simple label-mapped to Q2 FY2025. See LIRA vs Comp Correlation tab for the (weak) measured relationship with comps.</t>
        </r>
      </text>
    </comment>
    <comment ref="N65" authorId="0">
      <text>
        <r>
          <rPr>
            <sz val="10"/>
            <rFont val="Arial"/>
            <family val="2"/>
          </rPr>
          <t xml:space="preserve">Harvard JCHS LIRA quarter 2025-Q3 (Historical), simple label-mapped to Q3 FY2025. See LIRA vs Comp Correlation tab for the (weak) measured relationship with comps.</t>
        </r>
      </text>
    </comment>
    <comment ref="N66" authorId="0">
      <text>
        <r>
          <rPr>
            <sz val="10"/>
            <rFont val="Arial"/>
            <family val="2"/>
          </rPr>
          <t xml:space="preserve">Harvard JCHS LIRA quarter 2025-Q4 (Historical), simple label-mapped to Q4 FY2025. See LIRA vs Comp Correlation tab for the (weak) measured relationship with comps.</t>
        </r>
      </text>
    </comment>
    <comment ref="N67" authorId="0">
      <text>
        <r>
          <rPr>
            <sz val="10"/>
            <rFont val="Arial"/>
            <family val="2"/>
          </rPr>
          <t xml:space="preserve">Harvard JCHS LIRA quarter 2026-Q1 (Historical), simple label-mapped to Q1 FY2026. See LIRA vs Comp Correlation tab for the (weak) measured relationship with comps.</t>
        </r>
      </text>
    </comment>
    <comment ref="N68" authorId="0">
      <text>
        <r>
          <rPr>
            <sz val="10"/>
            <rFont val="Arial"/>
            <family val="2"/>
          </rPr>
          <t xml:space="preserve">Harvard JCHS LIRA quarter 2026-Q2 (Historical), simple label-mapped to Q2 FY2026. See LIRA vs Comp Correlation tab for the (weak) measured relationship with comps.</t>
        </r>
      </text>
    </comment>
    <comment ref="N69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  <comment ref="N70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  <comment ref="N71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  <comment ref="N72" authorId="0">
      <text>
        <r>
          <rPr>
            <sz val="10"/>
            <rFont val="Arial"/>
            <family val="2"/>
          </rPr>
          <t xml:space="preserve">Harvard JCHS LIRA's own projection for this quarter (simple label-mapped). See LIRA vs Comp Correlation tab for the (weak) measured relationship with comps.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Pulled from HD_LOW_Comp_Sales.xlsx, HD tab, row 23 (mapped from LIRA quarter 2023-Q3 -&gt; Q3 FY2023), as of 2026-08-20.</t>
        </r>
      </text>
    </comment>
    <comment ref="F6" authorId="0">
      <text>
        <r>
          <rPr>
            <sz val="10"/>
            <rFont val="Arial"/>
            <family val="2"/>
          </rPr>
          <t xml:space="preserve">Pulled from HD_LOW_Comp_Sales.xlsx, HD tab, row 24 (mapped from LIRA quarter 2023-Q4 -&gt; Q4 FY2023), as of 2026-08-20.</t>
        </r>
      </text>
    </comment>
    <comment ref="F7" authorId="0">
      <text>
        <r>
          <rPr>
            <sz val="10"/>
            <rFont val="Arial"/>
            <family val="2"/>
          </rPr>
          <t xml:space="preserve">Pulled from HD_LOW_Comp_Sales.xlsx, HD tab, row 25 (mapped from LIRA quarter 2024-Q1 -&gt; Q1 FY2024), as of 2026-08-20.</t>
        </r>
      </text>
    </comment>
    <comment ref="F8" authorId="0">
      <text>
        <r>
          <rPr>
            <sz val="10"/>
            <rFont val="Arial"/>
            <family val="2"/>
          </rPr>
          <t xml:space="preserve">Pulled from HD_LOW_Comp_Sales.xlsx, HD tab, row 26 (mapped from LIRA quarter 2024-Q2 -&gt; Q2 FY2024), as of 2026-08-20.</t>
        </r>
      </text>
    </comment>
    <comment ref="F9" authorId="0">
      <text>
        <r>
          <rPr>
            <sz val="10"/>
            <rFont val="Arial"/>
            <family val="2"/>
          </rPr>
          <t xml:space="preserve">Pulled from HD_LOW_Comp_Sales.xlsx, HD tab, row 27 (mapped from LIRA quarter 2024-Q3 -&gt; Q3 FY2024), as of 2026-08-20.</t>
        </r>
      </text>
    </comment>
    <comment ref="F10" authorId="0">
      <text>
        <r>
          <rPr>
            <sz val="10"/>
            <rFont val="Arial"/>
            <family val="2"/>
          </rPr>
          <t xml:space="preserve">Pulled from HD_LOW_Comp_Sales.xlsx, HD tab, row 28 (mapped from LIRA quarter 2024-Q4 -&gt; Q4 FY2024), as of 2026-08-20.</t>
        </r>
      </text>
    </comment>
    <comment ref="F11" authorId="0">
      <text>
        <r>
          <rPr>
            <sz val="10"/>
            <rFont val="Arial"/>
            <family val="2"/>
          </rPr>
          <t xml:space="preserve">Pulled from HD_LOW_Comp_Sales.xlsx, HD tab, row 29 (mapped from LIRA quarter 2025-Q1 -&gt; Q1 FY2025), as of 2026-08-20.</t>
        </r>
      </text>
    </comment>
    <comment ref="F12" authorId="0">
      <text>
        <r>
          <rPr>
            <sz val="10"/>
            <rFont val="Arial"/>
            <family val="2"/>
          </rPr>
          <t xml:space="preserve">Pulled from HD_LOW_Comp_Sales.xlsx, HD tab, row 30 (mapped from LIRA quarter 2025-Q2 -&gt; Q2 FY2025), as of 2026-08-20.</t>
        </r>
      </text>
    </comment>
    <comment ref="F13" authorId="0">
      <text>
        <r>
          <rPr>
            <sz val="10"/>
            <rFont val="Arial"/>
            <family val="2"/>
          </rPr>
          <t xml:space="preserve">Pulled from HD_LOW_Comp_Sales.xlsx, HD tab, row 31 (mapped from LIRA quarter 2025-Q3 -&gt; Q3 FY2025), as of 2026-08-20.</t>
        </r>
      </text>
    </comment>
    <comment ref="F14" authorId="0">
      <text>
        <r>
          <rPr>
            <sz val="10"/>
            <rFont val="Arial"/>
            <family val="2"/>
          </rPr>
          <t xml:space="preserve">Pulled from HD_LOW_Comp_Sales.xlsx, HD tab, row 32 (mapped from LIRA quarter 2025-Q4 -&gt; Q4 FY2025), as of 2026-08-20.</t>
        </r>
      </text>
    </comment>
    <comment ref="F15" authorId="0">
      <text>
        <r>
          <rPr>
            <sz val="10"/>
            <rFont val="Arial"/>
            <family val="2"/>
          </rPr>
          <t xml:space="preserve">Pulled from HD_LOW_Comp_Sales.xlsx, HD tab, row 33 (mapped from LIRA quarter 2026-Q1 -&gt; Q1 FY2026), as of 2026-08-20.</t>
        </r>
      </text>
    </comment>
    <comment ref="F16" authorId="0">
      <text>
        <r>
          <rPr>
            <sz val="10"/>
            <rFont val="Arial"/>
            <family val="2"/>
          </rPr>
          <t xml:space="preserve">Pulled from HD_LOW_Comp_Sales.xlsx, HD tab, row 34 (mapped from LIRA quarter 2026-Q2 -&gt; Q2 FY2026), as of 2026-08-20.</t>
        </r>
      </text>
    </comment>
    <comment ref="G5" authorId="0">
      <text>
        <r>
          <rPr>
            <sz val="10"/>
            <rFont val="Arial"/>
            <family val="2"/>
          </rPr>
          <t xml:space="preserve">Pulled from HD_LOW_Comp_Sales.xlsx, LOW tab, row 23 (mapped from LIRA quarter 2023-Q3 -&gt; Q3 FY2023), as of 2026-08-20.</t>
        </r>
      </text>
    </comment>
    <comment ref="G6" authorId="0">
      <text>
        <r>
          <rPr>
            <sz val="10"/>
            <rFont val="Arial"/>
            <family val="2"/>
          </rPr>
          <t xml:space="preserve">Pulled from HD_LOW_Comp_Sales.xlsx, LOW tab, row 24 (mapped from LIRA quarter 2023-Q4 -&gt; Q4 FY2023), as of 2026-08-20.</t>
        </r>
      </text>
    </comment>
    <comment ref="G7" authorId="0">
      <text>
        <r>
          <rPr>
            <sz val="10"/>
            <rFont val="Arial"/>
            <family val="2"/>
          </rPr>
          <t xml:space="preserve">Pulled from HD_LOW_Comp_Sales.xlsx, LOW tab, row 25 (mapped from LIRA quarter 2024-Q1 -&gt; Q1 FY2024), as of 2026-08-20.</t>
        </r>
      </text>
    </comment>
    <comment ref="G8" authorId="0">
      <text>
        <r>
          <rPr>
            <sz val="10"/>
            <rFont val="Arial"/>
            <family val="2"/>
          </rPr>
          <t xml:space="preserve">Pulled from HD_LOW_Comp_Sales.xlsx, LOW tab, row 26 (mapped from LIRA quarter 2024-Q2 -&gt; Q2 FY2024), as of 2026-08-20.</t>
        </r>
      </text>
    </comment>
    <comment ref="G9" authorId="0">
      <text>
        <r>
          <rPr>
            <sz val="10"/>
            <rFont val="Arial"/>
            <family val="2"/>
          </rPr>
          <t xml:space="preserve">Pulled from HD_LOW_Comp_Sales.xlsx, LOW tab, row 27 (mapped from LIRA quarter 2024-Q3 -&gt; Q3 FY2024), as of 2026-08-20.</t>
        </r>
      </text>
    </comment>
    <comment ref="G10" authorId="0">
      <text>
        <r>
          <rPr>
            <sz val="10"/>
            <rFont val="Arial"/>
            <family val="2"/>
          </rPr>
          <t xml:space="preserve">Pulled from HD_LOW_Comp_Sales.xlsx, LOW tab, row 28 (mapped from LIRA quarter 2024-Q4 -&gt; Q4 FY2024), as of 2026-08-20.</t>
        </r>
      </text>
    </comment>
    <comment ref="G11" authorId="0">
      <text>
        <r>
          <rPr>
            <sz val="10"/>
            <rFont val="Arial"/>
            <family val="2"/>
          </rPr>
          <t xml:space="preserve">Pulled from HD_LOW_Comp_Sales.xlsx, LOW tab, row 29 (mapped from LIRA quarter 2025-Q1 -&gt; Q1 FY2025), as of 2026-08-20.</t>
        </r>
      </text>
    </comment>
    <comment ref="G12" authorId="0">
      <text>
        <r>
          <rPr>
            <sz val="10"/>
            <rFont val="Arial"/>
            <family val="2"/>
          </rPr>
          <t xml:space="preserve">Pulled from HD_LOW_Comp_Sales.xlsx, LOW tab, row 30 (mapped from LIRA quarter 2025-Q2 -&gt; Q2 FY2025), as of 2026-08-20.</t>
        </r>
      </text>
    </comment>
    <comment ref="G13" authorId="0">
      <text>
        <r>
          <rPr>
            <sz val="10"/>
            <rFont val="Arial"/>
            <family val="2"/>
          </rPr>
          <t xml:space="preserve">Pulled from HD_LOW_Comp_Sales.xlsx, LOW tab, row 31 (mapped from LIRA quarter 2025-Q3 -&gt; Q3 FY2025), as of 2026-08-20.</t>
        </r>
      </text>
    </comment>
    <comment ref="G14" authorId="0">
      <text>
        <r>
          <rPr>
            <sz val="10"/>
            <rFont val="Arial"/>
            <family val="2"/>
          </rPr>
          <t xml:space="preserve">Pulled from HD_LOW_Comp_Sales.xlsx, LOW tab, row 32 (mapped from LIRA quarter 2025-Q4 -&gt; Q4 FY2025), as of 2026-08-20.</t>
        </r>
      </text>
    </comment>
    <comment ref="G15" authorId="0">
      <text>
        <r>
          <rPr>
            <sz val="10"/>
            <rFont val="Arial"/>
            <family val="2"/>
          </rPr>
          <t xml:space="preserve">Pulled from HD_LOW_Comp_Sales.xlsx, LOW tab, row 33 (mapped from LIRA quarter 2026-Q1 -&gt; Q1 FY2026), as of 2026-08-20.</t>
        </r>
      </text>
    </comment>
    <comment ref="G16" authorId="0">
      <text>
        <r>
          <rPr>
            <sz val="10"/>
            <rFont val="Arial"/>
            <family val="2"/>
          </rPr>
          <t xml:space="preserve">Pulled from HD_LOW_Comp_Sales.xlsx, LOW tab, row 34 (mapped from LIRA quarter 2026-Q2 -&gt; Q2 FY2026), as of 2026-08-20.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Pulled from HD_LOW_Comp_Sales.xlsx, HD tab, row 5, Comp Sales % (US) column, as of 2026-08-20.</t>
        </r>
      </text>
    </comment>
    <comment ref="B7" authorId="0">
      <text>
        <r>
          <rPr>
            <sz val="10"/>
            <rFont val="Arial"/>
            <family val="2"/>
          </rPr>
          <t xml:space="preserve">Pulled from HD_LOW_Comp_Sales.xlsx, HD tab, row 6, Comp Sales % (US) column, as of 2026-08-20.</t>
        </r>
      </text>
    </comment>
    <comment ref="B8" authorId="0">
      <text>
        <r>
          <rPr>
            <sz val="10"/>
            <rFont val="Arial"/>
            <family val="2"/>
          </rPr>
          <t xml:space="preserve">Pulled from HD_LOW_Comp_Sales.xlsx, HD tab, row 7, Comp Sales % (US) column, as of 2026-08-20.</t>
        </r>
      </text>
    </comment>
    <comment ref="B9" authorId="0">
      <text>
        <r>
          <rPr>
            <sz val="10"/>
            <rFont val="Arial"/>
            <family val="2"/>
          </rPr>
          <t xml:space="preserve">Pulled from HD_LOW_Comp_Sales.xlsx, HD tab, row 8, Comp Sales % (US) column, as of 2026-08-20.</t>
        </r>
      </text>
    </comment>
    <comment ref="B10" authorId="0">
      <text>
        <r>
          <rPr>
            <sz val="10"/>
            <rFont val="Arial"/>
            <family val="2"/>
          </rPr>
          <t xml:space="preserve">Pulled from HD_LOW_Comp_Sales.xlsx, HD tab, row 9, Comp Sales % (US) column, as of 2026-08-20.</t>
        </r>
      </text>
    </comment>
    <comment ref="B11" authorId="0">
      <text>
        <r>
          <rPr>
            <sz val="10"/>
            <rFont val="Arial"/>
            <family val="2"/>
          </rPr>
          <t xml:space="preserve">Pulled from HD_LOW_Comp_Sales.xlsx, HD tab, row 10, Comp Sales % (US) column, as of 2026-08-20.</t>
        </r>
      </text>
    </comment>
    <comment ref="B12" authorId="0">
      <text>
        <r>
          <rPr>
            <sz val="10"/>
            <rFont val="Arial"/>
            <family val="2"/>
          </rPr>
          <t xml:space="preserve">Pulled from HD_LOW_Comp_Sales.xlsx, HD tab, row 11, Comp Sales % (US) column, as of 2026-08-20.</t>
        </r>
      </text>
    </comment>
    <comment ref="B13" authorId="0">
      <text>
        <r>
          <rPr>
            <sz val="10"/>
            <rFont val="Arial"/>
            <family val="2"/>
          </rPr>
          <t xml:space="preserve">Pulled from HD_LOW_Comp_Sales.xlsx, HD tab, row 12, Comp Sales % (US) column, as of 2026-08-20.</t>
        </r>
      </text>
    </comment>
    <comment ref="B14" authorId="0">
      <text>
        <r>
          <rPr>
            <sz val="10"/>
            <rFont val="Arial"/>
            <family val="2"/>
          </rPr>
          <t xml:space="preserve">Pulled from HD_LOW_Comp_Sales.xlsx, HD tab, row 13, Comp Sales % (US) column, as of 2026-08-20.</t>
        </r>
      </text>
    </comment>
    <comment ref="B15" authorId="0">
      <text>
        <r>
          <rPr>
            <sz val="10"/>
            <rFont val="Arial"/>
            <family val="2"/>
          </rPr>
          <t xml:space="preserve">Pulled from HD_LOW_Comp_Sales.xlsx, HD tab, row 14, Comp Sales % (US) column, as of 2026-08-20.</t>
        </r>
      </text>
    </comment>
    <comment ref="B16" authorId="0">
      <text>
        <r>
          <rPr>
            <sz val="10"/>
            <rFont val="Arial"/>
            <family val="2"/>
          </rPr>
          <t xml:space="preserve">Pulled from HD_LOW_Comp_Sales.xlsx, HD tab, row 15, Comp Sales % (US) column, as of 2026-08-20.</t>
        </r>
      </text>
    </comment>
    <comment ref="B17" authorId="0">
      <text>
        <r>
          <rPr>
            <sz val="10"/>
            <rFont val="Arial"/>
            <family val="2"/>
          </rPr>
          <t xml:space="preserve">Pulled from HD_LOW_Comp_Sales.xlsx, HD tab, row 16, Comp Sales % (US) column, as of 2026-08-20.</t>
        </r>
      </text>
    </comment>
    <comment ref="B18" authorId="0">
      <text>
        <r>
          <rPr>
            <sz val="10"/>
            <rFont val="Arial"/>
            <family val="2"/>
          </rPr>
          <t xml:space="preserve">Pulled from HD_LOW_Comp_Sales.xlsx, HD tab, row 17, Comp Sales % (US) column, as of 2026-08-20.</t>
        </r>
      </text>
    </comment>
    <comment ref="B19" authorId="0">
      <text>
        <r>
          <rPr>
            <sz val="10"/>
            <rFont val="Arial"/>
            <family val="2"/>
          </rPr>
          <t xml:space="preserve">Pulled from HD_LOW_Comp_Sales.xlsx, HD tab, row 18, Comp Sales % (US) column, as of 2026-08-20.</t>
        </r>
      </text>
    </comment>
    <comment ref="B20" authorId="0">
      <text>
        <r>
          <rPr>
            <sz val="10"/>
            <rFont val="Arial"/>
            <family val="2"/>
          </rPr>
          <t xml:space="preserve">Pulled from HD_LOW_Comp_Sales.xlsx, HD tab, row 19, Comp Sales % (US) column, as of 2026-08-20.</t>
        </r>
      </text>
    </comment>
    <comment ref="B21" authorId="0">
      <text>
        <r>
          <rPr>
            <sz val="10"/>
            <rFont val="Arial"/>
            <family val="2"/>
          </rPr>
          <t xml:space="preserve">Pulled from HD_LOW_Comp_Sales.xlsx, HD tab, row 20, Comp Sales % (US) column, as of 2026-08-20.</t>
        </r>
      </text>
    </comment>
    <comment ref="B22" authorId="0">
      <text>
        <r>
          <rPr>
            <sz val="10"/>
            <rFont val="Arial"/>
            <family val="2"/>
          </rPr>
          <t xml:space="preserve">Pulled from HD_LOW_Comp_Sales.xlsx, HD tab, row 21, Comp Sales % (US) column, as of 2026-08-20.</t>
        </r>
      </text>
    </comment>
    <comment ref="B23" authorId="0">
      <text>
        <r>
          <rPr>
            <sz val="10"/>
            <rFont val="Arial"/>
            <family val="2"/>
          </rPr>
          <t xml:space="preserve">Pulled from HD_LOW_Comp_Sales.xlsx, HD tab, row 22, Comp Sales % (US) column, as of 2026-08-20.</t>
        </r>
      </text>
    </comment>
    <comment ref="B24" authorId="0">
      <text>
        <r>
          <rPr>
            <sz val="10"/>
            <rFont val="Arial"/>
            <family val="2"/>
          </rPr>
          <t xml:space="preserve">Pulled from HD_LOW_Comp_Sales.xlsx, HD tab, row 23, Comp Sales % (US) column, as of 2026-08-20.</t>
        </r>
      </text>
    </comment>
    <comment ref="B25" authorId="0">
      <text>
        <r>
          <rPr>
            <sz val="10"/>
            <rFont val="Arial"/>
            <family val="2"/>
          </rPr>
          <t xml:space="preserve">Pulled from HD_LOW_Comp_Sales.xlsx, HD tab, row 24, Comp Sales % (US) column, as of 2026-08-20.</t>
        </r>
      </text>
    </comment>
    <comment ref="B26" authorId="0">
      <text>
        <r>
          <rPr>
            <sz val="10"/>
            <rFont val="Arial"/>
            <family val="2"/>
          </rPr>
          <t xml:space="preserve">Pulled from HD_LOW_Comp_Sales.xlsx, HD tab, row 25, Comp Sales % (US) column, as of 2026-08-20.</t>
        </r>
      </text>
    </comment>
    <comment ref="B27" authorId="0">
      <text>
        <r>
          <rPr>
            <sz val="10"/>
            <rFont val="Arial"/>
            <family val="2"/>
          </rPr>
          <t xml:space="preserve">Pulled from HD_LOW_Comp_Sales.xlsx, HD tab, row 26, Comp Sales % (US) column, as of 2026-08-20.</t>
        </r>
      </text>
    </comment>
    <comment ref="B28" authorId="0">
      <text>
        <r>
          <rPr>
            <sz val="10"/>
            <rFont val="Arial"/>
            <family val="2"/>
          </rPr>
          <t xml:space="preserve">Pulled from HD_LOW_Comp_Sales.xlsx, HD tab, row 27, Comp Sales % (US) column, as of 2026-08-20.</t>
        </r>
      </text>
    </comment>
    <comment ref="B29" authorId="0">
      <text>
        <r>
          <rPr>
            <sz val="10"/>
            <rFont val="Arial"/>
            <family val="2"/>
          </rPr>
          <t xml:space="preserve">Pulled from HD_LOW_Comp_Sales.xlsx, HD tab, row 28, Comp Sales % (US) column, as of 2026-08-20.</t>
        </r>
      </text>
    </comment>
    <comment ref="B30" authorId="0">
      <text>
        <r>
          <rPr>
            <sz val="10"/>
            <rFont val="Arial"/>
            <family val="2"/>
          </rPr>
          <t xml:space="preserve">Pulled from HD_LOW_Comp_Sales.xlsx, HD tab, row 29, Comp Sales % (US) column, as of 2026-08-20.</t>
        </r>
      </text>
    </comment>
    <comment ref="B31" authorId="0">
      <text>
        <r>
          <rPr>
            <sz val="10"/>
            <rFont val="Arial"/>
            <family val="2"/>
          </rPr>
          <t xml:space="preserve">Pulled from HD_LOW_Comp_Sales.xlsx, HD tab, row 30, Comp Sales % (US) column, as of 2026-08-20.</t>
        </r>
      </text>
    </comment>
    <comment ref="B32" authorId="0">
      <text>
        <r>
          <rPr>
            <sz val="10"/>
            <rFont val="Arial"/>
            <family val="2"/>
          </rPr>
          <t xml:space="preserve">Pulled from HD_LOW_Comp_Sales.xlsx, HD tab, row 31, Comp Sales % (US) column, as of 2026-08-20.</t>
        </r>
      </text>
    </comment>
    <comment ref="B33" authorId="0">
      <text>
        <r>
          <rPr>
            <sz val="10"/>
            <rFont val="Arial"/>
            <family val="2"/>
          </rPr>
          <t xml:space="preserve">Pulled from HD_LOW_Comp_Sales.xlsx, HD tab, row 32, Comp Sales % (US) column, as of 2026-08-20.</t>
        </r>
      </text>
    </comment>
    <comment ref="B34" authorId="0">
      <text>
        <r>
          <rPr>
            <sz val="10"/>
            <rFont val="Arial"/>
            <family val="2"/>
          </rPr>
          <t xml:space="preserve">Pulled from HD_LOW_Comp_Sales.xlsx, HD tab, row 33, Comp Sales % (US) column, as of 2026-08-20.</t>
        </r>
      </text>
    </comment>
    <comment ref="B35" authorId="0">
      <text>
        <r>
          <rPr>
            <sz val="10"/>
            <rFont val="Arial"/>
            <family val="2"/>
          </rPr>
          <t xml:space="preserve">Pulled from HD_LOW_Comp_Sales.xlsx, HD tab, row 34, Comp Sales % (US) column, as of 2026-08-20.</t>
        </r>
      </text>
    </comment>
    <comment ref="B39" authorId="0">
      <text>
        <r>
          <rPr>
            <sz val="10"/>
            <rFont val="Arial"/>
            <family val="2"/>
          </rPr>
          <t xml:space="preserve">Pulled from HD_LOW_Comp_Sales.xlsx, LOW tab, row 5, Comp Sales % (US) column, as of 2026-08-20.</t>
        </r>
      </text>
    </comment>
    <comment ref="B40" authorId="0">
      <text>
        <r>
          <rPr>
            <sz val="10"/>
            <rFont val="Arial"/>
            <family val="2"/>
          </rPr>
          <t xml:space="preserve">Pulled from HD_LOW_Comp_Sales.xlsx, LOW tab, row 6, Comp Sales % (US) column, as of 2026-08-20.</t>
        </r>
      </text>
    </comment>
    <comment ref="B41" authorId="0">
      <text>
        <r>
          <rPr>
            <sz val="10"/>
            <rFont val="Arial"/>
            <family val="2"/>
          </rPr>
          <t xml:space="preserve">Pulled from HD_LOW_Comp_Sales.xlsx, LOW tab, row 7, Comp Sales % (US) column, as of 2026-08-20.</t>
        </r>
      </text>
    </comment>
    <comment ref="B42" authorId="0">
      <text>
        <r>
          <rPr>
            <sz val="10"/>
            <rFont val="Arial"/>
            <family val="2"/>
          </rPr>
          <t xml:space="preserve">Pulled from HD_LOW_Comp_Sales.xlsx, LOW tab, row 8, Comp Sales % (US) column, as of 2026-08-20.</t>
        </r>
      </text>
    </comment>
    <comment ref="B43" authorId="0">
      <text>
        <r>
          <rPr>
            <sz val="10"/>
            <rFont val="Arial"/>
            <family val="2"/>
          </rPr>
          <t xml:space="preserve">Pulled from HD_LOW_Comp_Sales.xlsx, LOW tab, row 9, Comp Sales % (US) column, as of 2026-08-20.</t>
        </r>
      </text>
    </comment>
    <comment ref="B44" authorId="0">
      <text>
        <r>
          <rPr>
            <sz val="10"/>
            <rFont val="Arial"/>
            <family val="2"/>
          </rPr>
          <t xml:space="preserve">Pulled from HD_LOW_Comp_Sales.xlsx, LOW tab, row 10, Comp Sales % (US) column, as of 2026-08-20.</t>
        </r>
      </text>
    </comment>
    <comment ref="B45" authorId="0">
      <text>
        <r>
          <rPr>
            <sz val="10"/>
            <rFont val="Arial"/>
            <family val="2"/>
          </rPr>
          <t xml:space="preserve">Pulled from HD_LOW_Comp_Sales.xlsx, LOW tab, row 11, Comp Sales % (US) column, as of 2026-08-20.</t>
        </r>
      </text>
    </comment>
    <comment ref="B46" authorId="0">
      <text>
        <r>
          <rPr>
            <sz val="10"/>
            <rFont val="Arial"/>
            <family val="2"/>
          </rPr>
          <t xml:space="preserve">Pulled from HD_LOW_Comp_Sales.xlsx, LOW tab, row 12, Comp Sales % (US) column, as of 2026-08-20.</t>
        </r>
      </text>
    </comment>
    <comment ref="B47" authorId="0">
      <text>
        <r>
          <rPr>
            <sz val="10"/>
            <rFont val="Arial"/>
            <family val="2"/>
          </rPr>
          <t xml:space="preserve">Pulled from HD_LOW_Comp_Sales.xlsx, LOW tab, row 13, Comp Sales % (US) column, as of 2026-08-20.</t>
        </r>
      </text>
    </comment>
    <comment ref="B48" authorId="0">
      <text>
        <r>
          <rPr>
            <sz val="10"/>
            <rFont val="Arial"/>
            <family val="2"/>
          </rPr>
          <t xml:space="preserve">Pulled from HD_LOW_Comp_Sales.xlsx, LOW tab, row 14, Comp Sales % (US) column, as of 2026-08-20.</t>
        </r>
      </text>
    </comment>
    <comment ref="B49" authorId="0">
      <text>
        <r>
          <rPr>
            <sz val="10"/>
            <rFont val="Arial"/>
            <family val="2"/>
          </rPr>
          <t xml:space="preserve">Pulled from HD_LOW_Comp_Sales.xlsx, LOW tab, row 15, Comp Sales % (US) column, as of 2026-08-20.</t>
        </r>
      </text>
    </comment>
    <comment ref="B50" authorId="0">
      <text>
        <r>
          <rPr>
            <sz val="10"/>
            <rFont val="Arial"/>
            <family val="2"/>
          </rPr>
          <t xml:space="preserve">Pulled from HD_LOW_Comp_Sales.xlsx, LOW tab, row 16, Comp Sales % (US) column, as of 2026-08-20.</t>
        </r>
      </text>
    </comment>
    <comment ref="B51" authorId="0">
      <text>
        <r>
          <rPr>
            <sz val="10"/>
            <rFont val="Arial"/>
            <family val="2"/>
          </rPr>
          <t xml:space="preserve">Pulled from HD_LOW_Comp_Sales.xlsx, LOW tab, row 17, Comp Sales % (US) column, as of 2026-08-20.</t>
        </r>
      </text>
    </comment>
    <comment ref="B52" authorId="0">
      <text>
        <r>
          <rPr>
            <sz val="10"/>
            <rFont val="Arial"/>
            <family val="2"/>
          </rPr>
          <t xml:space="preserve">Pulled from HD_LOW_Comp_Sales.xlsx, LOW tab, row 18, Comp Sales % (US) column, as of 2026-08-20.</t>
        </r>
      </text>
    </comment>
    <comment ref="B53" authorId="0">
      <text>
        <r>
          <rPr>
            <sz val="10"/>
            <rFont val="Arial"/>
            <family val="2"/>
          </rPr>
          <t xml:space="preserve">Pulled from HD_LOW_Comp_Sales.xlsx, LOW tab, row 19, Comp Sales % (US) column, as of 2026-08-20.</t>
        </r>
      </text>
    </comment>
    <comment ref="B54" authorId="0">
      <text>
        <r>
          <rPr>
            <sz val="10"/>
            <rFont val="Arial"/>
            <family val="2"/>
          </rPr>
          <t xml:space="preserve">Pulled from HD_LOW_Comp_Sales.xlsx, LOW tab, row 20, Comp Sales % (US) column, as of 2026-08-20.</t>
        </r>
      </text>
    </comment>
    <comment ref="B55" authorId="0">
      <text>
        <r>
          <rPr>
            <sz val="10"/>
            <rFont val="Arial"/>
            <family val="2"/>
          </rPr>
          <t xml:space="preserve">Pulled from HD_LOW_Comp_Sales.xlsx, LOW tab, row 21, Comp Sales % (US) column, as of 2026-08-20.</t>
        </r>
      </text>
    </comment>
    <comment ref="B56" authorId="0">
      <text>
        <r>
          <rPr>
            <sz val="10"/>
            <rFont val="Arial"/>
            <family val="2"/>
          </rPr>
          <t xml:space="preserve">Pulled from HD_LOW_Comp_Sales.xlsx, LOW tab, row 22, Comp Sales % (US) column, as of 2026-08-20.</t>
        </r>
      </text>
    </comment>
    <comment ref="B57" authorId="0">
      <text>
        <r>
          <rPr>
            <sz val="10"/>
            <rFont val="Arial"/>
            <family val="2"/>
          </rPr>
          <t xml:space="preserve">Pulled from HD_LOW_Comp_Sales.xlsx, LOW tab, row 23, Comp Sales % (US) column, as of 2026-08-20.</t>
        </r>
      </text>
    </comment>
    <comment ref="B58" authorId="0">
      <text>
        <r>
          <rPr>
            <sz val="10"/>
            <rFont val="Arial"/>
            <family val="2"/>
          </rPr>
          <t xml:space="preserve">Pulled from HD_LOW_Comp_Sales.xlsx, LOW tab, row 24, Comp Sales % (US) column, as of 2026-08-20.</t>
        </r>
      </text>
    </comment>
    <comment ref="B59" authorId="0">
      <text>
        <r>
          <rPr>
            <sz val="10"/>
            <rFont val="Arial"/>
            <family val="2"/>
          </rPr>
          <t xml:space="preserve">Pulled from HD_LOW_Comp_Sales.xlsx, LOW tab, row 25, Comp Sales % (US) column, as of 2026-08-20.</t>
        </r>
      </text>
    </comment>
    <comment ref="B60" authorId="0">
      <text>
        <r>
          <rPr>
            <sz val="10"/>
            <rFont val="Arial"/>
            <family val="2"/>
          </rPr>
          <t xml:space="preserve">Pulled from HD_LOW_Comp_Sales.xlsx, LOW tab, row 26, Comp Sales % (US) column, as of 2026-08-20.</t>
        </r>
      </text>
    </comment>
    <comment ref="B61" authorId="0">
      <text>
        <r>
          <rPr>
            <sz val="10"/>
            <rFont val="Arial"/>
            <family val="2"/>
          </rPr>
          <t xml:space="preserve">Pulled from HD_LOW_Comp_Sales.xlsx, LOW tab, row 27, Comp Sales % (US) column, as of 2026-08-20.</t>
        </r>
      </text>
    </comment>
    <comment ref="B62" authorId="0">
      <text>
        <r>
          <rPr>
            <sz val="10"/>
            <rFont val="Arial"/>
            <family val="2"/>
          </rPr>
          <t xml:space="preserve">Pulled from HD_LOW_Comp_Sales.xlsx, LOW tab, row 28, Comp Sales % (US) column, as of 2026-08-20.</t>
        </r>
      </text>
    </comment>
    <comment ref="B63" authorId="0">
      <text>
        <r>
          <rPr>
            <sz val="10"/>
            <rFont val="Arial"/>
            <family val="2"/>
          </rPr>
          <t xml:space="preserve">Pulled from HD_LOW_Comp_Sales.xlsx, LOW tab, row 29, Comp Sales % (US) column, as of 2026-08-20.</t>
        </r>
      </text>
    </comment>
    <comment ref="B64" authorId="0">
      <text>
        <r>
          <rPr>
            <sz val="10"/>
            <rFont val="Arial"/>
            <family val="2"/>
          </rPr>
          <t xml:space="preserve">Pulled from HD_LOW_Comp_Sales.xlsx, LOW tab, row 30, Comp Sales % (US) column, as of 2026-08-20.</t>
        </r>
      </text>
    </comment>
    <comment ref="B65" authorId="0">
      <text>
        <r>
          <rPr>
            <sz val="10"/>
            <rFont val="Arial"/>
            <family val="2"/>
          </rPr>
          <t xml:space="preserve">Pulled from HD_LOW_Comp_Sales.xlsx, LOW tab, row 31, Comp Sales % (US) column, as of 2026-08-20.</t>
        </r>
      </text>
    </comment>
    <comment ref="B66" authorId="0">
      <text>
        <r>
          <rPr>
            <sz val="10"/>
            <rFont val="Arial"/>
            <family val="2"/>
          </rPr>
          <t xml:space="preserve">Pulled from HD_LOW_Comp_Sales.xlsx, LOW tab, row 32, Comp Sales % (US) column, as of 2026-08-20.</t>
        </r>
      </text>
    </comment>
    <comment ref="B67" authorId="0">
      <text>
        <r>
          <rPr>
            <sz val="10"/>
            <rFont val="Arial"/>
            <family val="2"/>
          </rPr>
          <t xml:space="preserve">Pulled from HD_LOW_Comp_Sales.xlsx, LOW tab, row 33, Comp Sales % (US) column, as of 2026-08-20.</t>
        </r>
      </text>
    </comment>
    <comment ref="B68" authorId="0">
      <text>
        <r>
          <rPr>
            <sz val="10"/>
            <rFont val="Arial"/>
            <family val="2"/>
          </rPr>
          <t xml:space="preserve">Pulled from HD_LOW_Comp_Sales.xlsx, LOW tab, row 34, Comp Sales % (US) column, as of 2026-08-20.</t>
        </r>
      </text>
    </comment>
  </commentList>
</comments>
</file>

<file path=xl/sharedStrings.xml><?xml version="1.0" encoding="utf-8"?>
<sst xmlns="http://schemas.openxmlformats.org/spreadsheetml/2006/main" count="705" uniqueCount="183">
  <si>
    <t xml:space="preserve">HD &amp; LOW — US Comp Sales Point Estimates, Q3 FY2026 – Q2 FY2027</t>
  </si>
  <si>
    <t xml:space="preserve">Point Estimate = 0.85 x (Recent Performance Baseline + Macro Adjustment) + 0.15 x LIRA's own forward-looking projection. The baseline is each company's trailing 2-quarter average comp sales, anchoring every estimate to real recent momentum. The macro adjustment reflects how far the strongest predictor at that horizon (mortgage rate near-term, consumer sentiment far-out) is expected to move from ITS OWN recent normal -- not extrapolated from a single volatile reading. Consumer sentiment's projection tapers its recent downward drift rather than assuming it continues in a straight line for 5 quarters, and the farthest-out quarter's regression slope is capped to guard against small-sample noise. LIRA (Harvard JCHS) is blended in at a small weight since it's the only series with genuine forward-looking data for our exact forecast quarters, despite a historically weak correlation. Full step-by-step build on the Point Estimates tab.</t>
  </si>
  <si>
    <t xml:space="preserve">Company</t>
  </si>
  <si>
    <t xml:space="preserve">Fiscal Quarter</t>
  </si>
  <si>
    <t xml:space="preserve">Predictor Used</t>
  </si>
  <si>
    <t xml:space="preserve">Projected Predictor Value</t>
  </si>
  <si>
    <t xml:space="preserve">Point Estimate (US Comp %)</t>
  </si>
  <si>
    <t xml:space="preserve">LIRA Projection (15% blend weight)</t>
  </si>
  <si>
    <t xml:space="preserve">HD</t>
  </si>
  <si>
    <t xml:space="preserve">Q3 FY2026</t>
  </si>
  <si>
    <t xml:space="preserve">Mortgage Rate (Leads 1Q, blended)</t>
  </si>
  <si>
    <t xml:space="preserve">Q4 FY2026</t>
  </si>
  <si>
    <t xml:space="preserve">Mortgage Rate (Leads 2Q, blended)</t>
  </si>
  <si>
    <t xml:space="preserve">Q1 FY2027</t>
  </si>
  <si>
    <t xml:space="preserve">Consumer Sentiment (Leads 4Q, tapered)</t>
  </si>
  <si>
    <t xml:space="preserve">Q2 FY2027</t>
  </si>
  <si>
    <t xml:space="preserve">Consumer Sentiment (Leads 5Q, tapered, slope-capped)</t>
  </si>
  <si>
    <t xml:space="preserve">LOW</t>
  </si>
  <si>
    <t xml:space="preserve">Key Finding: a coherent, moderate deceleration story</t>
  </si>
  <si>
    <t xml:space="preserve">After anchoring estimates to each company's recent trailing performance (rather than a pure macro-level regression) and tapering the consumer-sentiment extrapolation, the model now shows modestly positive comp sales in the near term (Q3/Q4 FY2026) fading toward roughly flat to modestly negative by mid-2027 (Q1/Q2 FY2027) -- broadly in line with both companies' FY2026 guidance (flat to +2.0% HD, flat LOW) and LIRA's own projected deceleration, rather than sharply diverging from them as an earlier macro-only version of this model did. The remaining softness in the two farthest-out quarters still reflects a genuine signal: consumer sentiment has been drifting lower for a year, and if that continues even at a decelerating pace, it's a real (if modest) headwind companies' own guidance may be counting on continued execution (market share, Pro-channel growth, pricing) to offset.</t>
  </si>
  <si>
    <t xml:space="preserve">FY2026 Guidance Cross-Check</t>
  </si>
  <si>
    <t xml:space="preserve">FY2026 total comp sales: flat to +2.0% (reaffirmed 8/18/2026). US comp typically runs slightly below total comp recently (~0.1-0.4 pt gap), so US comp guidance is inferred as roughly flat to +1.7%.</t>
  </si>
  <si>
    <t xml:space="preserve">FY2026 total comp sales: flat (narrowed from flat to +2.0% on 8/19/2026). LOW no longer breaks out US comp separately (divested Canada in FY2022), so total comp guidance applies directly to US comp.</t>
  </si>
  <si>
    <t xml:space="preserve">Data sources: US comp sales from HD's/LOW's own quarterly earnings releases. Mortgage rate = Freddie Mac PMMS 30-Yr Fixed weekly average (FRED). Consumer Sentiment = University of Michigan Survey of Consumers (FRED). LIRA = Harvard JCHS, Q2 2026 release. Full source detail and raw series in HD_LOW_Source_Data.xlsx. All public sources. Built 2026-08-20.</t>
  </si>
  <si>
    <t xml:space="preserve">HD &amp; LOW — Consolidated Quarterly Data (Comp Sales, Macro Indicators, NAICS444, LIRA)</t>
  </si>
  <si>
    <t xml:space="preserve">One row per HD/LOW fiscal quarter. Each company's 30 ACTUAL quarters (Q1 FY2019 - Q2 FY2026) are immediately followed by that SAME company's 4 PROJECTED quarters (Q3 FY2026 - Q2 FY2027, see Period Type column) -- HD rows 5-38, LOW rows 39-72 -- so each company's history reads as one continuous chronological block. Columns E-J (Mortgage Rate through Building Permits) and column K (Data Quality Notes) are sourced from Housing_Macro_Indicators.xlsx's original 'Quarterly Data' tab -- see HD_LOW_Source_Data.xlsx for the raw monthly/weekly readings and day-weighted allocation methodology behind those 6 series (blank for the 4 projected rows -- future macro readings aren't known). Columns L-P (Comp Sales % US, NAICS444, LIRA, Notes, Period Type) are appended after column K. Column L is a hardcoded value (with a source-citing comment) for actual rows, and a LIVE formula linked to the Point Estimates tab for the 4 projected rows per company, so refining the forecast methodology updates these automatically. Built 2026-08-20.</t>
  </si>
  <si>
    <t xml:space="preserve">Quarter Start Date</t>
  </si>
  <si>
    <t xml:space="preserve">Quarter End Date</t>
  </si>
  <si>
    <t xml:space="preserve">30-Yr Mortgage Rate (%)</t>
  </si>
  <si>
    <t xml:space="preserve">Existing Home Sales (M, SAAR)</t>
  </si>
  <si>
    <t xml:space="preserve">New Home Sales (M, SAAR)</t>
  </si>
  <si>
    <t xml:space="preserve">CPI-U Y/Y Growth (%)</t>
  </si>
  <si>
    <t xml:space="preserve">U. Michigan Consumer Sentiment</t>
  </si>
  <si>
    <t xml:space="preserve">Building Permits (M Units, SAAR)</t>
  </si>
  <si>
    <t xml:space="preserve">Data Quality Notes</t>
  </si>
  <si>
    <t xml:space="preserve">Comp Sales % (US)</t>
  </si>
  <si>
    <t xml:space="preserve">NAICS444 Retail Sales Y/Y Growth</t>
  </si>
  <si>
    <t xml:space="preserve">LIRA Mapped 4-Qtr YoY Rate of Change</t>
  </si>
  <si>
    <t xml:space="preserve">Comp / NAICS444 / LIRA Notes</t>
  </si>
  <si>
    <t xml:space="preserve">Period Type</t>
  </si>
  <si>
    <t xml:space="preserve">Q1 FY2019</t>
  </si>
  <si>
    <t xml:space="preserve">All series available as full fiscal-quarter averages.</t>
  </si>
  <si>
    <t xml:space="preserve">Actual</t>
  </si>
  <si>
    <t xml:space="preserve">Q2 FY2019</t>
  </si>
  <si>
    <t xml:space="preserve">Q3 FY2019</t>
  </si>
  <si>
    <t xml:space="preserve">Q4 FY2019</t>
  </si>
  <si>
    <t xml:space="preserve">Q1 FY2020</t>
  </si>
  <si>
    <t xml:space="preserve">Q2 FY2020</t>
  </si>
  <si>
    <t xml:space="preserve">Q3 FY2020</t>
  </si>
  <si>
    <t xml:space="preserve">Q4 FY2020</t>
  </si>
  <si>
    <t xml:space="preserve">Q1 FY2021</t>
  </si>
  <si>
    <t xml:space="preserve">Q2 FY2021</t>
  </si>
  <si>
    <t xml:space="preserve">Q3 FY2021</t>
  </si>
  <si>
    <t xml:space="preserve">Q4 FY2021</t>
  </si>
  <si>
    <t xml:space="preserve">Q1 FY2022</t>
  </si>
  <si>
    <t xml:space="preserve">Q2 FY2022</t>
  </si>
  <si>
    <t xml:space="preserve">Q3 FY2022</t>
  </si>
  <si>
    <t xml:space="preserve">Q4 FY2022</t>
  </si>
  <si>
    <t xml:space="preserve">Q1 FY2023</t>
  </si>
  <si>
    <t xml:space="preserve">Q2 FY2023</t>
  </si>
  <si>
    <t xml:space="preserve">Q3 FY2023</t>
  </si>
  <si>
    <t xml:space="preserve">Q4 FY2023</t>
  </si>
  <si>
    <t xml:space="preserve">Q1 FY2024</t>
  </si>
  <si>
    <t xml:space="preserve">Q2 FY2024</t>
  </si>
  <si>
    <t xml:space="preserve">Q3 FY2024</t>
  </si>
  <si>
    <t xml:space="preserve">Q4 FY2024</t>
  </si>
  <si>
    <t xml:space="preserve">Q1 FY2025</t>
  </si>
  <si>
    <t xml:space="preserve">Q2 FY2025</t>
  </si>
  <si>
    <t xml:space="preserve">Q3 FY2025</t>
  </si>
  <si>
    <t xml:space="preserve">Q4 FY2025</t>
  </si>
  <si>
    <t xml:space="preserve">Q1 FY2026</t>
  </si>
  <si>
    <t xml:space="preserve">Q2 FY2026</t>
  </si>
  <si>
    <t xml:space="preserve">Quarter extends beyond available source data for one or more series -- left blank; see the respective 'by Fiscal Qtr' tab.</t>
  </si>
  <si>
    <t xml:space="preserve">NAICS444 retail-sales Y/Y growth not yet available (Census reporting lag)</t>
  </si>
  <si>
    <t xml:space="preserve">Projected quarter -- macro readings not yet known.</t>
  </si>
  <si>
    <t xml:space="preserve">PROJECTED -- see Point Estimates tab for regression detail.</t>
  </si>
  <si>
    <t xml:space="preserve">Projected</t>
  </si>
  <si>
    <t xml:space="preserve">Amber italic rows are PROJECTED quarters (regression point estimates, not company-reported actuals) -- see the Point Estimates tab for full methodology. Quarter start/end dates for projected rows are estimated (standard 13-week cadence from the last known quarter), not confirmed by the company. Amber italic cells within ACTUAL rows flag a specific data gap (see that row's notes).</t>
  </si>
  <si>
    <t xml:space="preserve">LIRA (Harvard JCHS) vs. Comp Sales — Predictive-Power Analysis</t>
  </si>
  <si>
    <t xml:space="preserve">Tests whether Harvard JCHS's LIRA four-quarter moving rate of change (homeowner improvements &amp; repairs spend) predicts HD's and LOW's actual reported US comp sales. SIMPLIFYING ASSUMPTION (per explicit user direction): LIRA's calendar-quarter labels are mapped directly to the company fiscal-quarter label of the same number -- e.g. LIRA's "2027-Q2" is treated as corresponding to "Q2 FY2027" for both HD and LOW -- even though the two periods don't actually share identical start/end dates (HD's and LOW's fiscal quarters run roughly one month behind the calendar quarter of the same number). This trades precision for simplicity; see LIRA_Remodeling_Activity.xlsx for LIRA's own calendar-quarter dating. LIRA has only 12 historical quarters (2023-Q3 through 2026-Q2) before turning into Harvard's own projections -- much less than the 25-30 quarters used for the six-macro-series analysis -- so correlation N here is small and results should be read as directional, not as statistically robust. LIRA's 4 projected quarters (2026-Q3 through 2027-Q2) map directly onto the exact 4 quarters HD and LOW need forecasted -- unlike every other series in this workbook, LIRA hands us actual forward-looking values for the full forecast horizon rather than requiring extrapolation. Comp Sales % (US) pulled from HD_LOW_Comp_Sales.xlsx as of 2026-08-20.</t>
  </si>
  <si>
    <t xml:space="preserve">LIRA Quarter</t>
  </si>
  <si>
    <t xml:space="preserve">Mapped Fiscal Quarter</t>
  </si>
  <si>
    <t xml:space="preserve">LIRA 4-Qtr Total ($B)</t>
  </si>
  <si>
    <t xml:space="preserve">LIRA 4-Qtr YoY Rate of Change</t>
  </si>
  <si>
    <t xml:space="preserve">HD Comp % (US)</t>
  </si>
  <si>
    <t xml:space="preserve">LOW Comp % (US)</t>
  </si>
  <si>
    <t xml:space="preserve">2023-Q3</t>
  </si>
  <si>
    <t xml:space="preserve">Historical</t>
  </si>
  <si>
    <t xml:space="preserve">2023-Q4</t>
  </si>
  <si>
    <t xml:space="preserve">2024-Q1</t>
  </si>
  <si>
    <t xml:space="preserve">2024-Q2</t>
  </si>
  <si>
    <t xml:space="preserve">2024-Q3</t>
  </si>
  <si>
    <t xml:space="preserve">2024-Q4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</si>
  <si>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</si>
  <si>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</si>
  <si>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</si>
  <si>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</si>
  <si>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</si>
  <si>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</si>
  <si>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2026-Q3</t>
  </si>
  <si>
    <t xml:space="preserve">2026-Q4</t>
  </si>
  <si>
    <t xml:space="preserve">2027-Q1</t>
  </si>
  <si>
    <t xml:space="preserve">2027-Q2</t>
  </si>
  <si>
    <t xml:space="preserve">Amber italic rows are LIRA's own forward-looking projections (2026-Q3 through 2027-Q2, mapped to Q3 FY2026 - Q2 FY2027) -- no actual comp sales exist yet for these rows since HD and LOW haven't reported them.</t>
  </si>
  <si>
    <t xml:space="preserve">Correlation Summary (Pearson r)</t>
  </si>
  <si>
    <t xml:space="preserve">Contemporaneous = LIRA's YoY rate of change vs. same-mapped-quarter comp. "LIRA Leads NQ" = this quarter's LIRA reading vs. the comp N quarters ahead. N (quarter count) is shown since it's much smaller than the six-macro-series analysis -- treat r values computed on N&lt;8 with real caution.</t>
  </si>
  <si>
    <t xml:space="preserve">Contemporaneous r</t>
  </si>
  <si>
    <t xml:space="preserve">Leads 1Q r</t>
  </si>
  <si>
    <t xml:space="preserve">Leads 2Q r</t>
  </si>
  <si>
    <t xml:space="preserve">Leads 3Q r</t>
  </si>
  <si>
    <t xml:space="preserve">N (Contemp.)</t>
  </si>
  <si>
    <t xml:space="preserve">Key Takeaways</t>
  </si>
  <si>
    <t xml:space="preserve">• The correlation is weak at the contemporaneous horizon (HD r=0.18, LOW r=0.06) and turns increasingly NEGATIVE at longer leads (HD -0.60, LOW -0.58 at 3Q) -- the opposite of what we'd hope from the single most conceptually on-topic series in this project. Given N drops to just 9 pairs by the 3Q-lead test, these later figures are especially unstable and should not be read as a reliable trend reversal.</t>
  </si>
  <si>
    <t xml:space="preserve">• A few plausible explanations, none of which we can fully rule out with 12 data points: LIRA is a national, all-homeowner remodeling index (much broader than HD/LOW's specific mix of Pro, DIY, and non-remodel categories like appliances); its figures are 4-quarter MOVING totals, which smooths out the quarter-to-quarter variation that actually drives comp-sales swings; and the simplified calendar-to-fiscal-quarter label mapping used here (per user direction) introduces up to a 1-month misalignment that could blur an otherwise real relationship.</t>
  </si>
  <si>
    <t xml:space="preserve">• Practical implication for the forecasting model: LIRA should NOT be weighted as a strong regression predictor based on this historical correlation -- it doesn't earn that weight on the evidence. Its real value is different: it's the only series in this project that hands us actual forward-looking figures for the exact 4 quarters we need to forecast, so it's better used as a qualitative/directional cross-check on our forecast's shape (LIRA projects continued modest deceleration through 2027-Q1/Q2) rather than as an input we lean on quantitatively.</t>
  </si>
  <si>
    <t xml:space="preserve">NAICS 444 Retail Sales vs. Comp Sales — Correlation Analysis</t>
  </si>
  <si>
    <t xml:space="preserve">Tests whether public Census NAICS 444 (Building Material &amp; Garden retail) sales growth predicts HD's and LOW's own reported US comp sales. Uses live CORREL() formulas against this workbook's own 'Quarterly Data' tab (column M = NAICS444 Y/Y growth, column L = Comp Sales % US); blank pairs (no prior-year comparison for the first 4 quarters, or the most recent quarter pending Census reporting) are automatically excluded by CORREL(). Two cuts are shown: the full sample, and a post-pandemic cut starting Q1 FY2022 (the same training window used for the Point Estimates regressions), since the 2020-2021 pandemic demand shock inflates the full-sample correlation for both names.</t>
  </si>
  <si>
    <t xml:space="preserve">Contemporaneous = retail growth vs. same-quarter comp. "Retail Leads 1Q" = this quarter's retail growth vs. NEXT quarter's comp (the predictive/forecasting use case). "Retail Lags 1Q" = this quarter's retail growth vs. the PRIOR quarter's comp.</t>
  </si>
  <si>
    <t xml:space="preserve">Sample</t>
  </si>
  <si>
    <t xml:space="preserve">Retail Leads 1Q r</t>
  </si>
  <si>
    <t xml:space="preserve">Retail Lags 1Q r</t>
  </si>
  <si>
    <t xml:space="preserve">Full sample</t>
  </si>
  <si>
    <t xml:space="preserve">Post-pandemic (Q1 FY2022 onward)</t>
  </si>
  <si>
    <t xml:space="preserve">• For both names, the contemporaneous (same-quarter) relationship is the strongest of the three tested -- retail sales data and comp sales move together in the same period more than either leads or lags the other, consistent with the earlier version of this analysis (full-sample HD r~0.93, LOW r~0.82).</t>
  </si>
  <si>
    <t xml:space="preserve">• HD's correlation with NAICS444 retail sales is consistently stronger and more robust than LOW's, and holds up noticeably better in the post-pandemic cut -- LOW's full-sample correlation is more inflated by the shared 2020-2021 demand shock than HD's.</t>
  </si>
  <si>
    <t xml:space="preserve">• Retail data one quarter ahead ("Retail Leads 1Q") is a meaningfully weaker predictor than the same-quarter relationship for both names, reinforcing that NAICS444 works better as a same-quarter nowcast/cross-check than as a forward-looking predictor -- consistent with why it isn't used as a regression input in the Point Estimates tab (Census also reports it with a lag, so it isn't fully available for the most recent quarter anyway).</t>
  </si>
  <si>
    <t xml:space="preserve">• Practical implication: NAICS444 is a useful SAME-QUARTER sanity check on comp sales once both are reported (helpful for validating the underlying macro backdrop), but its 1-quarter-lead relationship isn't strong enough on its own to replace the mortgage-rate/consumer-sentiment regressions used for the forward point estimates.</t>
  </si>
  <si>
    <t xml:space="preserve">Point Estimate Build — HD &amp; LOW, Q3 FY2026 – Q2 FY2027</t>
  </si>
  <si>
    <t xml:space="preserve">Point Estimate = 0.85 x (Baseline + Macro Adjustment) + 0.15 x LIRA's own forward-looking projection. Baseline = trailing 2-quarter average of the company's own actual comp sales (anchors to recent momentum). Macro Adjustment = regression slope x (projected predictor - the predictor's own trailing 4-quarter average) -- measures deviation from the predictor's RECENT normal, not the full training-period average, so one volatile reading can't be fully extrapolated at face value. Near-term quarters use mortgage rate (projected as a 50/50 blend of the latest reading and its trailing average); far-out quarters use consumer sentiment (projected by carrying its recent trailing-4-quarter drift rate forward, tapered 19%/quarter rather than held flat indefinitely). Regression trained on Q1 FY2022-present throughout (excludes the pandemic-distorted 2019-2021 period). Full narrative rationale on the Overview tab.</t>
  </si>
  <si>
    <t xml:space="preserve">HD Regressions</t>
  </si>
  <si>
    <t xml:space="preserve">Recent Performance Baseline (trailing 2Q avg comp sales)</t>
  </si>
  <si>
    <t xml:space="preserve">Q3 FY2026 (1 quarter ahead) — Mortgage Rate, Leads 1Q</t>
  </si>
  <si>
    <t xml:space="preserve">Predictor (X)</t>
  </si>
  <si>
    <t xml:space="preserve">N (historical pairs, FY2022+)</t>
  </si>
  <si>
    <t xml:space="preserve">Slope (raw)</t>
  </si>
  <si>
    <t xml:space="preserve">Intercept</t>
  </si>
  <si>
    <t xml:space="preserve">R (correlation)</t>
  </si>
  <si>
    <t xml:space="preserve">Latest reading (most recent actual quarter)</t>
  </si>
  <si>
    <t xml:space="preserve">Trailing 4Q average (recent normal)</t>
  </si>
  <si>
    <t xml:space="preserve">Projected predictor (50/50 blend of latest + trailing avg)</t>
  </si>
  <si>
    <t xml:space="preserve">Predictor deviation from recent normal (projected - trailing avg)</t>
  </si>
  <si>
    <t xml:space="preserve">Macro Adjustment (slope x deviation)</t>
  </si>
  <si>
    <t xml:space="preserve">Regression Component (Baseline + Macro Adjustment)</t>
  </si>
  <si>
    <t xml:space="preserve">LIRA Projection (this quarter, from LIRA vs Comp Correlation tab)</t>
  </si>
  <si>
    <t xml:space="preserve">Point Estimate — Q3 FY2026  (=85% regression / 15% LIRA)</t>
  </si>
  <si>
    <t xml:space="preserve">Q4 FY2026 (2 quarters ahead) — Mortgage Rate, Leads 2Q</t>
  </si>
  <si>
    <t xml:space="preserve">Point Estimate — Q4 FY2026  (=85% regression / 15% LIRA)</t>
  </si>
  <si>
    <t xml:space="preserve">Q1 FY2027 (4 quarters ahead) — Consumer Sentiment, Leads 4Q</t>
  </si>
  <si>
    <t xml:space="preserve">Consumer Sentiment</t>
  </si>
  <si>
    <t xml:space="preserve">Latest reading (Q1 FY2026, most recent complete quarter)</t>
  </si>
  <si>
    <t xml:space="preserve">Trailing 4Q avg rate of change (drift/quarter)</t>
  </si>
  <si>
    <t xml:space="preserve">Taper decay factor / quarters extrapolated (lead)</t>
  </si>
  <si>
    <t xml:space="preserve">0.8 decay, 4Q lead</t>
  </si>
  <si>
    <t xml:space="preserve">Cumulative taper multiplier (=(1-decay^lead)/(1-decay))</t>
  </si>
  <si>
    <t xml:space="preserve">Projected predictor (tapered drift extrapolation)</t>
  </si>
  <si>
    <t xml:space="preserve">Point Estimate — Q1 FY2027  (=85% regression / 15% LIRA)</t>
  </si>
  <si>
    <t xml:space="preserve">Q2 FY2027 (5 quarters ahead) — Consumer Sentiment, Leads 5Q</t>
  </si>
  <si>
    <t xml:space="preserve">0.8 decay, 5Q lead</t>
  </si>
  <si>
    <t xml:space="preserve">Slope cap (max 1.75x the Leads-4Q slope)</t>
  </si>
  <si>
    <t xml:space="preserve">Slope (capped)</t>
  </si>
  <si>
    <t xml:space="preserve">Point Estimate — Q2 FY2027  (=85% regression / 15% LIRA)</t>
  </si>
  <si>
    <t xml:space="preserve">LOW Regressions</t>
  </si>
  <si>
    <t xml:space="preserve">Macro Indicators vs. Comp Sales — Predictive-Power Analysis</t>
  </si>
  <si>
    <t xml:space="preserve">Tests whether the six macro series in this workbook (Mortgage Rate, Existing Home Sales, New Home Sales, CPI-U, U. Michigan Consumer Sentiment, Building Permits) predict HD's and LOW's actual reported US comp sales -- same approach as the NAICS444 retail-sales analysis in HD_LOW_Comp_Sales.xlsx's Analysis tab, applied here to the macro series instead. Comp Sales % (US) values are pulled from HD_LOW_Comp_Sales.xlsx as of 2026-08-20 (see per-cell comments for exact source row); the six macro columns are live formula references to this workbook's Quarterly Data tab. Correlation Summary below computes Pearson r via live CORREL() formulas for six lag structures per series per company: Contemporaneous (same quarter) plus Macro Leads 1Q through 5Q (this quarter's macro reading vs. the comp N quarters ahead -- the directly forecast-usable relationships, since these series don't carry NAICS444's multi-quarter reporting lag; extended one quarter beyond this assignment's 4-quarter forecast horizon as an extra check on how quickly each series' predictive power ultimately decays). CORREL() automatically excludes pairs where either value is blank, so trailing quarters where a series hasn't caught up to the fiscal-quarter-end yet are handled correctly without excluding the whole row.</t>
  </si>
  <si>
    <t xml:space="preserve">Home Depot (HD)</t>
  </si>
  <si>
    <t xml:space="preserve">Mortgage Rate (%)</t>
  </si>
  <si>
    <t xml:space="preserve">Building Permits (M Units)</t>
  </si>
  <si>
    <t xml:space="preserve">Lowe's (LOW)</t>
  </si>
  <si>
    <t xml:space="preserve">Contemporaneous = macro reading vs. same-quarter comp. "Macro Leads NQ" = this quarter's macro reading vs. the comp N quarters ahead (the relationship usable for an N-quarter-ahead forecast), computed out through 4 quarters to cover the full forecast horizon for this assignment. All use live CORREL() formulas over the full contiguous data range above; blank pairs (a series not yet caught up to a fiscal quarter, or the shift running past the last known quarter) are automatically excluded by CORREL().</t>
  </si>
  <si>
    <t xml:space="preserve">Macro Series</t>
  </si>
  <si>
    <t xml:space="preserve">Macro Leads 1Q r</t>
  </si>
  <si>
    <t xml:space="preserve">Macro Leads 2Q r</t>
  </si>
  <si>
    <t xml:space="preserve">Macro Leads 3Q r</t>
  </si>
  <si>
    <t xml:space="preserve">Macro Leads 4Q r</t>
  </si>
  <si>
    <t xml:space="preserve">Macro Leads 5Q r</t>
  </si>
  <si>
    <t xml:space="preserve">• New Home Sales is the single strongest macro predictor at the SHORT end of the forecast horizon (contemporaneous/1Q-lead, r~0.66-0.80 for both companies) but decays the fastest of any series -- by the 4-quarter lead it's essentially uncorrelated (HD r=0.06, LOW r=-0.03), and stays near zero at 5Q (HD 0.12, LOW 0.04). It's a strong near-term signal, not a reliable one for the back half of a 4+ quarter forecast.</t>
  </si>
  <si>
    <t xml:space="preserve">• Consumer Sentiment does the OPPOSITE: weak at the contemporaneous horizon (r~0.30-0.32) but strengthens steadily with every additional quarter of lead, becoming the single strongest predictor in the entire table at the 4-quarter horizon (HD r=0.81, LOW r=0.80) and continuing to strengthen even further at 5Q (HD r=0.88, LOW r=0.82) -- a striking, consistent, still-climbing pattern across both companies. This makes it the standout candidate for driving the FAR end of our forecast (Q3-Q4 out), even though it's a weak choice for the near term.</t>
  </si>
  <si>
    <t xml:space="preserve">• Mortgage Rate is the most 'all-around' reliable series: strongly negative at every horizon tested (roughly -0.74 to -0.40 for HD, -0.68 to -0.30 for LOW as lead extends from 0 to 5 quarters) -- it decays more gradually than New Home Sales or Building Permits, making it a solid contributor across the full forecast horizon rather than being horizon-specific, even as its strength does erode noticeably by 5Q.</t>
  </si>
  <si>
    <t xml:space="preserve">• CPI-U Y/Y Growth (the inflation RATE, not the index level -- an index level trends monotonically upward and isn't economically meaningful to correlate against comp sales) is moderately negative and strengthens somewhat with lead time (HD: -0.28 contemporaneous to -0.54 at 5Q; LOW: -0.43 to -0.48) -- higher inflation is associated with softer comps, a relationship that holds up reasonably well across the full horizon without being the single strongest signal at any one point.</t>
  </si>
  <si>
    <t xml:space="preserve">• Building Permits -- despite being the most theoretically 'leading' of the six series -- shows the weakest relationship at every horizon and gets WORSE (more negative) the further out it's tested, flipping from a modest positive at contemporaneous (HD 0.31, LOW 0.11) to clearly negative by 4-5 quarters out (HD -0.41, LOW -0.45 at 5Q) for both companies. Being a leading indicator of construction starts clearly doesn't translate into being a good leading correlate of comp sales -- the transmission timeline evidently doesn't line up with what we assumed.</t>
  </si>
  <si>
    <t xml:space="preserve">• Existing Home Sales sits in between: a decent contemporaneous predictor (HD 0.69, LOW 0.57) that decays steadily, ending up weak by 4-5 quarters out (HD 0.25, LOW 0.17 at 5Q) -- more durable than New Home Sales or Permits, but nowhere near as durable as Mortgage Rate or CPI-U.</t>
  </si>
  <si>
    <t xml:space="preserve">• Across nearly every series and lag structure, HD's correlations run modestly higher than LOW's -- consistent with the NAICS444 retail-sales finding (HD r=0.93 vs. LOW r=0.82 contemporaneous) that HD's comp sales are simply more macro-driven/predictable than LOW's, whose results carry more idiosyncratic (Pro/DIY mix, acquisition-related) variation. The one interesting exception is Consumer Sentiment, where HD and LOW stay close together at every lead (0.81 vs. 0.80 at 4Q, 0.88 vs. 0.82 at 5Q).</t>
  </si>
  <si>
    <t xml:space="preserve">• Bottom line for the forecasting model: no single series is reliable across the full 4-5 quarter horizon. A sensible design shifts weight from New Home Sales/Existing Home Sales (strong near-term, weak far-term) toward Consumer Sentiment (weak near-term, strongest far-term and still climbing at 5Q) as the forecast horizon extends, while treating Mortgage Rate as a steady, horizon-independent contributor and CPI-U Y/Y Growth as a moderate, gradually-strengthening secondary signal throughout, and de-emphasizing Building Permits given its weak and steadily deteriorating relationship at every tested horizon.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</si>
</sst>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%"/>
    <numFmt numFmtId="167" formatCode="mm/dd/yyyy"/>
    <numFmt numFmtId="168" formatCode="0.000"/>
    <numFmt numFmtId="169" formatCode="0.0"/>
    <numFmt numFmtId="170" formatCode="\$#,##0"/>
    <numFmt numFmtId="171" formatCode="0"/>
    <numFmt numFmtId="172" formatCode="0.00%"/>
    <numFmt numFmtId="173" formatCode="0.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9C57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8F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99.75" hidden="false" customHeight="true" outlineLevel="0" collapsed="false">
      <c r="A3" s="3" t="s">
        <v>1</v>
      </c>
      <c r="B3" s="3"/>
      <c r="C3" s="3"/>
      <c r="D3" s="3"/>
      <c r="E3" s="3"/>
      <c r="F3" s="3"/>
    </row>
    <row r="6" customFormat="false" ht="30" hidden="false" customHeight="true" outlineLevel="0" collapsed="false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customFormat="false" ht="15" hidden="false" customHeight="true" outlineLevel="0" collapsed="false">
      <c r="A7" s="5" t="s">
        <v>8</v>
      </c>
      <c r="B7" s="6" t="s">
        <v>9</v>
      </c>
      <c r="C7" s="6" t="s">
        <v>10</v>
      </c>
      <c r="D7" s="7" t="n">
        <f aca="false">'Point Estimates'!B15</f>
        <v>6.4048076923077</v>
      </c>
      <c r="E7" s="8" t="n">
        <f aca="false">'Point Estimates'!B20</f>
        <v>0.00795080423116057</v>
      </c>
      <c r="F7" s="9" t="n">
        <f aca="false">'LIRA vs Comp Correlation'!E17</f>
        <v>0.021</v>
      </c>
    </row>
    <row r="8" customFormat="false" ht="15" hidden="false" customHeight="true" outlineLevel="0" collapsed="false">
      <c r="A8" s="5" t="s">
        <v>8</v>
      </c>
      <c r="B8" s="6" t="s">
        <v>11</v>
      </c>
      <c r="C8" s="6" t="s">
        <v>12</v>
      </c>
      <c r="D8" s="7" t="n">
        <f aca="false">'Point Estimates'!B30</f>
        <v>6.4048076923077</v>
      </c>
      <c r="E8" s="8" t="n">
        <f aca="false">'Point Estimates'!B35</f>
        <v>0.00908034671518413</v>
      </c>
      <c r="F8" s="9" t="n">
        <f aca="false">'LIRA vs Comp Correlation'!E18</f>
        <v>0.021</v>
      </c>
    </row>
    <row r="9" customFormat="false" ht="15" hidden="false" customHeight="true" outlineLevel="0" collapsed="false">
      <c r="A9" s="5" t="s">
        <v>8</v>
      </c>
      <c r="B9" s="6" t="s">
        <v>13</v>
      </c>
      <c r="C9" s="6" t="s">
        <v>14</v>
      </c>
      <c r="D9" s="7" t="n">
        <f aca="false">'Point Estimates'!B48</f>
        <v>49.4786395604395</v>
      </c>
      <c r="E9" s="8" t="n">
        <f aca="false">'Point Estimates'!B53</f>
        <v>0.00225661654313813</v>
      </c>
      <c r="F9" s="9" t="n">
        <f aca="false">'LIRA vs Comp Correlation'!E19</f>
        <v>0.007</v>
      </c>
    </row>
    <row r="10" customFormat="false" ht="15" hidden="false" customHeight="true" outlineLevel="0" collapsed="false">
      <c r="A10" s="5" t="s">
        <v>8</v>
      </c>
      <c r="B10" s="6" t="s">
        <v>15</v>
      </c>
      <c r="C10" s="6" t="s">
        <v>16</v>
      </c>
      <c r="D10" s="7" t="n">
        <f aca="false">'Point Estimates'!B66</f>
        <v>49.0115380219779</v>
      </c>
      <c r="E10" s="8" t="n">
        <f aca="false">'Point Estimates'!B73</f>
        <v>-0.0022061320769571</v>
      </c>
      <c r="F10" s="9" t="n">
        <f aca="false">'LIRA vs Comp Correlation'!E20</f>
        <v>0.005</v>
      </c>
    </row>
    <row r="11" customFormat="false" ht="15" hidden="false" customHeight="true" outlineLevel="0" collapsed="false">
      <c r="A11" s="5" t="s">
        <v>17</v>
      </c>
      <c r="B11" s="6" t="s">
        <v>9</v>
      </c>
      <c r="C11" s="6" t="s">
        <v>10</v>
      </c>
      <c r="D11" s="7" t="n">
        <f aca="false">'Point Estimates'!B87</f>
        <v>6.4048076923077</v>
      </c>
      <c r="E11" s="8" t="n">
        <f aca="false">'Point Estimates'!B92</f>
        <v>0.00487894128946227</v>
      </c>
      <c r="F11" s="9" t="n">
        <f aca="false">'LIRA vs Comp Correlation'!E17</f>
        <v>0.021</v>
      </c>
    </row>
    <row r="12" customFormat="false" ht="15" hidden="false" customHeight="true" outlineLevel="0" collapsed="false">
      <c r="A12" s="5" t="s">
        <v>17</v>
      </c>
      <c r="B12" s="6" t="s">
        <v>11</v>
      </c>
      <c r="C12" s="6" t="s">
        <v>12</v>
      </c>
      <c r="D12" s="7" t="n">
        <f aca="false">'Point Estimates'!B102</f>
        <v>6.4048076923077</v>
      </c>
      <c r="E12" s="8" t="n">
        <f aca="false">'Point Estimates'!B107</f>
        <v>0.00539912140219726</v>
      </c>
      <c r="F12" s="9" t="n">
        <f aca="false">'LIRA vs Comp Correlation'!E18</f>
        <v>0.021</v>
      </c>
    </row>
    <row r="13" customFormat="false" ht="15" hidden="false" customHeight="true" outlineLevel="0" collapsed="false">
      <c r="A13" s="5" t="s">
        <v>17</v>
      </c>
      <c r="B13" s="6" t="s">
        <v>13</v>
      </c>
      <c r="C13" s="6" t="s">
        <v>14</v>
      </c>
      <c r="D13" s="7" t="n">
        <f aca="false">'Point Estimates'!B120</f>
        <v>49.7228065934066</v>
      </c>
      <c r="E13" s="8" t="n">
        <f aca="false">'Point Estimates'!B125</f>
        <v>-0.00217969663061574</v>
      </c>
      <c r="F13" s="9" t="n">
        <f aca="false">'LIRA vs Comp Correlation'!E19</f>
        <v>0.007</v>
      </c>
    </row>
    <row r="14" customFormat="false" ht="15" hidden="false" customHeight="true" outlineLevel="0" collapsed="false">
      <c r="A14" s="5" t="s">
        <v>17</v>
      </c>
      <c r="B14" s="6" t="s">
        <v>15</v>
      </c>
      <c r="C14" s="6" t="s">
        <v>16</v>
      </c>
      <c r="D14" s="7" t="n">
        <f aca="false">'Point Estimates'!B138</f>
        <v>49.2539046153846</v>
      </c>
      <c r="E14" s="8" t="n">
        <f aca="false">'Point Estimates'!B145</f>
        <v>-0.00846156909062184</v>
      </c>
      <c r="F14" s="9" t="n">
        <f aca="false">'LIRA vs Comp Correlation'!E20</f>
        <v>0.005</v>
      </c>
    </row>
    <row r="16" customFormat="false" ht="15" hidden="false" customHeight="true" outlineLevel="0" collapsed="false">
      <c r="A16" s="10" t="s">
        <v>18</v>
      </c>
    </row>
    <row r="17" customFormat="false" ht="99.75" hidden="false" customHeight="true" outlineLevel="0" collapsed="false">
      <c r="A17" s="3" t="s">
        <v>19</v>
      </c>
      <c r="B17" s="3"/>
      <c r="C17" s="3"/>
      <c r="D17" s="3"/>
      <c r="E17" s="3"/>
      <c r="F17" s="3"/>
    </row>
    <row r="19" customFormat="false" ht="15" hidden="false" customHeight="true" outlineLevel="0" collapsed="false">
      <c r="A19" s="10" t="s">
        <v>20</v>
      </c>
    </row>
    <row r="20" customFormat="false" ht="48" hidden="false" customHeight="true" outlineLevel="0" collapsed="false">
      <c r="A20" s="5" t="s">
        <v>8</v>
      </c>
      <c r="B20" s="3" t="s">
        <v>21</v>
      </c>
      <c r="C20" s="3"/>
      <c r="D20" s="3"/>
      <c r="E20" s="3"/>
      <c r="F20" s="3"/>
    </row>
    <row r="21" customFormat="false" ht="48" hidden="false" customHeight="true" outlineLevel="0" collapsed="false">
      <c r="A21" s="5" t="s">
        <v>17</v>
      </c>
      <c r="B21" s="3" t="s">
        <v>22</v>
      </c>
      <c r="C21" s="3"/>
      <c r="D21" s="3"/>
      <c r="E21" s="3"/>
      <c r="F21" s="3"/>
    </row>
    <row r="23" customFormat="false" ht="48" hidden="false" customHeight="true" outlineLevel="0" collapsed="false">
      <c r="A23" s="3" t="s">
        <v>23</v>
      </c>
      <c r="B23" s="3"/>
      <c r="C23" s="3"/>
      <c r="D23" s="3"/>
      <c r="E23" s="3"/>
      <c r="F23" s="3"/>
    </row>
  </sheetData>
  <mergeCells count="6">
    <mergeCell ref="A1:F1"/>
    <mergeCell ref="A3:F3"/>
    <mergeCell ref="A17:F17"/>
    <mergeCell ref="B20:F20"/>
    <mergeCell ref="B21:F21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4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10" min="9" style="1" width="16"/>
    <col collapsed="false" customWidth="true" hidden="false" outlineLevel="0" max="11" min="11" style="1" width="30"/>
    <col collapsed="false" customWidth="true" hidden="false" outlineLevel="0" max="12" min="12" style="1" width="16"/>
    <col collapsed="false" customWidth="true" hidden="false" outlineLevel="0" max="13" min="13" style="1" width="20"/>
    <col collapsed="false" customWidth="true" hidden="false" outlineLevel="0" max="14" min="14" style="1" width="22"/>
    <col collapsed="false" customWidth="true" hidden="false" outlineLevel="0" max="15" min="15" style="1" width="30"/>
    <col collapsed="false" customWidth="true" hidden="false" outlineLevel="0" max="16" min="16" style="1" width="12"/>
  </cols>
  <sheetData>
    <row r="1" customFormat="false" ht="17.25" hidden="false" customHeight="true" outlineLevel="0" collapsed="false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20" hidden="false" customHeight="true" outlineLevel="0" collapsed="false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9" hidden="false" customHeight="true" outlineLevel="0" collapsed="false">
      <c r="A4" s="4" t="s">
        <v>2</v>
      </c>
      <c r="B4" s="4" t="s">
        <v>3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</row>
    <row r="5" customFormat="false" ht="23.25" hidden="false" customHeight="true" outlineLevel="0" collapsed="false">
      <c r="A5" s="6" t="s">
        <v>8</v>
      </c>
      <c r="B5" s="6" t="s">
        <v>40</v>
      </c>
      <c r="C5" s="11" t="n">
        <v>43500</v>
      </c>
      <c r="D5" s="11" t="n">
        <v>43590</v>
      </c>
      <c r="E5" s="7" t="n">
        <v>4.25</v>
      </c>
      <c r="F5" s="12" t="n">
        <v>5.29296703296703</v>
      </c>
      <c r="G5" s="12" t="n">
        <v>0.688046075566726</v>
      </c>
      <c r="H5" s="9" t="n">
        <v>0.0179742461319807</v>
      </c>
      <c r="I5" s="13" t="n">
        <v>96.8285714285714</v>
      </c>
      <c r="J5" s="12" t="n">
        <v>1.30428571428571</v>
      </c>
      <c r="K5" s="14" t="s">
        <v>41</v>
      </c>
      <c r="L5" s="9" t="n">
        <v>0.03</v>
      </c>
      <c r="M5" s="6"/>
      <c r="O5" s="14"/>
      <c r="P5" s="6" t="s">
        <v>42</v>
      </c>
    </row>
    <row r="6" customFormat="false" ht="23.25" hidden="false" customHeight="true" outlineLevel="0" collapsed="false">
      <c r="A6" s="6" t="s">
        <v>8</v>
      </c>
      <c r="B6" s="6" t="s">
        <v>43</v>
      </c>
      <c r="C6" s="11" t="n">
        <v>43591</v>
      </c>
      <c r="D6" s="11" t="n">
        <v>43681</v>
      </c>
      <c r="E6" s="7" t="n">
        <v>3.86461538461538</v>
      </c>
      <c r="F6" s="12" t="n">
        <v>5.35076923076923</v>
      </c>
      <c r="G6" s="12" t="n">
        <v>0.668984535994869</v>
      </c>
      <c r="H6" s="9" t="n">
        <v>0.0174646193664974</v>
      </c>
      <c r="I6" s="13" t="n">
        <v>98.4131868131868</v>
      </c>
      <c r="J6" s="12" t="n">
        <v>1.34801098901099</v>
      </c>
      <c r="K6" s="14" t="s">
        <v>41</v>
      </c>
      <c r="L6" s="9" t="n">
        <v>0.031</v>
      </c>
      <c r="M6" s="6"/>
      <c r="O6" s="14"/>
      <c r="P6" s="6" t="s">
        <v>42</v>
      </c>
    </row>
    <row r="7" customFormat="false" ht="23.25" hidden="false" customHeight="true" outlineLevel="0" collapsed="false">
      <c r="A7" s="6" t="s">
        <v>8</v>
      </c>
      <c r="B7" s="6" t="s">
        <v>44</v>
      </c>
      <c r="C7" s="11" t="n">
        <v>43682</v>
      </c>
      <c r="D7" s="11" t="n">
        <v>43772</v>
      </c>
      <c r="E7" s="7" t="n">
        <v>3.63</v>
      </c>
      <c r="F7" s="12" t="n">
        <v>5.4389010989011</v>
      </c>
      <c r="G7" s="12" t="n">
        <v>0.715343973233013</v>
      </c>
      <c r="H7" s="9" t="n">
        <v>0.0175236468237885</v>
      </c>
      <c r="I7" s="13" t="n">
        <v>93.0934065934066</v>
      </c>
      <c r="J7" s="12" t="n">
        <v>1.49342857142857</v>
      </c>
      <c r="K7" s="14" t="s">
        <v>41</v>
      </c>
      <c r="L7" s="9" t="n">
        <v>0.038</v>
      </c>
      <c r="M7" s="6"/>
      <c r="O7" s="14"/>
      <c r="P7" s="6" t="s">
        <v>42</v>
      </c>
    </row>
    <row r="8" customFormat="false" ht="23.25" hidden="false" customHeight="true" outlineLevel="0" collapsed="false">
      <c r="A8" s="6" t="s">
        <v>8</v>
      </c>
      <c r="B8" s="6" t="s">
        <v>45</v>
      </c>
      <c r="C8" s="11" t="n">
        <v>43773</v>
      </c>
      <c r="D8" s="11" t="n">
        <v>43863</v>
      </c>
      <c r="E8" s="7" t="n">
        <v>3.67538461538462</v>
      </c>
      <c r="F8" s="12" t="n">
        <v>5.46142857142857</v>
      </c>
      <c r="G8" s="12" t="n">
        <v>0.700049511291828</v>
      </c>
      <c r="H8" s="9" t="n">
        <v>0.0228208041432496</v>
      </c>
      <c r="I8" s="13" t="n">
        <v>98.7659340659341</v>
      </c>
      <c r="J8" s="12" t="n">
        <v>1.4867032967033</v>
      </c>
      <c r="K8" s="14" t="s">
        <v>41</v>
      </c>
      <c r="L8" s="9" t="n">
        <v>0.053</v>
      </c>
      <c r="M8" s="6"/>
      <c r="O8" s="14"/>
      <c r="P8" s="6" t="s">
        <v>42</v>
      </c>
    </row>
    <row r="9" customFormat="false" ht="23.25" hidden="false" customHeight="true" outlineLevel="0" collapsed="false">
      <c r="A9" s="6" t="s">
        <v>8</v>
      </c>
      <c r="B9" s="6" t="s">
        <v>46</v>
      </c>
      <c r="C9" s="11" t="n">
        <v>43864</v>
      </c>
      <c r="D9" s="11" t="n">
        <v>43954</v>
      </c>
      <c r="E9" s="7" t="n">
        <v>3.39923076923077</v>
      </c>
      <c r="F9" s="12" t="n">
        <v>5.06362637362637</v>
      </c>
      <c r="G9" s="12" t="n">
        <v>0.636342658108226</v>
      </c>
      <c r="H9" s="9" t="n">
        <v>0.0129678437774043</v>
      </c>
      <c r="I9" s="13" t="n">
        <v>86.3736263736264</v>
      </c>
      <c r="J9" s="12" t="n">
        <v>1.29067032967033</v>
      </c>
      <c r="K9" s="14" t="s">
        <v>41</v>
      </c>
      <c r="L9" s="9" t="n">
        <v>0.075</v>
      </c>
      <c r="M9" s="9" t="n">
        <v>0.0434988575666728</v>
      </c>
      <c r="O9" s="14"/>
      <c r="P9" s="6" t="s">
        <v>42</v>
      </c>
    </row>
    <row r="10" customFormat="false" ht="23.25" hidden="false" customHeight="true" outlineLevel="0" collapsed="false">
      <c r="A10" s="6" t="s">
        <v>8</v>
      </c>
      <c r="B10" s="6" t="s">
        <v>47</v>
      </c>
      <c r="C10" s="11" t="n">
        <v>43955</v>
      </c>
      <c r="D10" s="11" t="n">
        <v>44045</v>
      </c>
      <c r="E10" s="7" t="n">
        <v>3.12769230769231</v>
      </c>
      <c r="F10" s="12" t="n">
        <v>4.88725274725275</v>
      </c>
      <c r="G10" s="12" t="n">
        <v>0.871104611218942</v>
      </c>
      <c r="H10" s="9" t="n">
        <v>0.00610111687733106</v>
      </c>
      <c r="I10" s="13" t="n">
        <v>74.3197802197802</v>
      </c>
      <c r="J10" s="12" t="n">
        <v>1.38236263736264</v>
      </c>
      <c r="K10" s="14" t="s">
        <v>41</v>
      </c>
      <c r="L10" s="9" t="n">
        <v>0.25</v>
      </c>
      <c r="M10" s="9" t="n">
        <v>0.175235248865419</v>
      </c>
      <c r="O10" s="14"/>
      <c r="P10" s="6" t="s">
        <v>42</v>
      </c>
    </row>
    <row r="11" customFormat="false" ht="23.25" hidden="false" customHeight="true" outlineLevel="0" collapsed="false">
      <c r="A11" s="6" t="s">
        <v>8</v>
      </c>
      <c r="B11" s="6" t="s">
        <v>48</v>
      </c>
      <c r="C11" s="11" t="n">
        <v>44046</v>
      </c>
      <c r="D11" s="11" t="n">
        <v>44136</v>
      </c>
      <c r="E11" s="7" t="n">
        <v>2.88230769230769</v>
      </c>
      <c r="F11" s="12" t="n">
        <v>6.47516483516484</v>
      </c>
      <c r="G11" s="12" t="n">
        <v>1.00715984700393</v>
      </c>
      <c r="H11" s="9" t="n">
        <v>0.0127931314631724</v>
      </c>
      <c r="I11" s="13" t="n">
        <v>78.8307692307692</v>
      </c>
      <c r="J11" s="12" t="n">
        <v>1.60054945054945</v>
      </c>
      <c r="K11" s="14" t="s">
        <v>41</v>
      </c>
      <c r="L11" s="9" t="n">
        <v>0.246</v>
      </c>
      <c r="M11" s="9" t="n">
        <v>0.162421773997864</v>
      </c>
      <c r="O11" s="14"/>
      <c r="P11" s="6" t="s">
        <v>42</v>
      </c>
    </row>
    <row r="12" customFormat="false" ht="23.25" hidden="false" customHeight="true" outlineLevel="0" collapsed="false">
      <c r="A12" s="6" t="s">
        <v>8</v>
      </c>
      <c r="B12" s="6" t="s">
        <v>49</v>
      </c>
      <c r="C12" s="11" t="n">
        <v>44137</v>
      </c>
      <c r="D12" s="11" t="n">
        <v>44227</v>
      </c>
      <c r="E12" s="7" t="n">
        <v>2.72461538461539</v>
      </c>
      <c r="F12" s="12" t="n">
        <v>6.71384615384616</v>
      </c>
      <c r="G12" s="12" t="n">
        <v>0.883299003726231</v>
      </c>
      <c r="H12" s="9" t="n">
        <v>0.0130248248611182</v>
      </c>
      <c r="I12" s="13" t="n">
        <v>78.9098901098901</v>
      </c>
      <c r="J12" s="12" t="n">
        <v>1.76932967032967</v>
      </c>
      <c r="K12" s="14" t="s">
        <v>41</v>
      </c>
      <c r="L12" s="9" t="n">
        <v>0.25</v>
      </c>
      <c r="M12" s="9" t="n">
        <v>0.175649505409503</v>
      </c>
      <c r="O12" s="14"/>
      <c r="P12" s="6" t="s">
        <v>42</v>
      </c>
    </row>
    <row r="13" customFormat="false" ht="23.25" hidden="false" customHeight="true" outlineLevel="0" collapsed="false">
      <c r="A13" s="6" t="s">
        <v>8</v>
      </c>
      <c r="B13" s="6" t="s">
        <v>50</v>
      </c>
      <c r="C13" s="11" t="n">
        <v>44228</v>
      </c>
      <c r="D13" s="11" t="n">
        <v>44318</v>
      </c>
      <c r="E13" s="7" t="n">
        <v>2.99</v>
      </c>
      <c r="F13" s="12" t="n">
        <v>6.01725274725275</v>
      </c>
      <c r="G13" s="12" t="n">
        <v>0.812874818639003</v>
      </c>
      <c r="H13" s="9" t="n">
        <v>0.0289535556845211</v>
      </c>
      <c r="I13" s="13" t="n">
        <v>83.4846153846154</v>
      </c>
      <c r="J13" s="12" t="n">
        <v>1.72340659340659</v>
      </c>
      <c r="K13" s="14" t="s">
        <v>41</v>
      </c>
      <c r="L13" s="9" t="n">
        <v>0.299</v>
      </c>
      <c r="M13" s="9" t="n">
        <v>0.280265339190182</v>
      </c>
      <c r="O13" s="14"/>
      <c r="P13" s="6" t="s">
        <v>42</v>
      </c>
    </row>
    <row r="14" customFormat="false" ht="23.25" hidden="false" customHeight="true" outlineLevel="0" collapsed="false">
      <c r="A14" s="6" t="s">
        <v>8</v>
      </c>
      <c r="B14" s="6" t="s">
        <v>51</v>
      </c>
      <c r="C14" s="11" t="n">
        <v>44319</v>
      </c>
      <c r="D14" s="11" t="n">
        <v>44409</v>
      </c>
      <c r="E14" s="7" t="n">
        <v>2.93</v>
      </c>
      <c r="F14" s="12" t="n">
        <v>5.88538461538462</v>
      </c>
      <c r="G14" s="12" t="n">
        <v>0.725166323077545</v>
      </c>
      <c r="H14" s="9" t="n">
        <v>0.0523882705021366</v>
      </c>
      <c r="I14" s="13" t="n">
        <v>83.0395604395605</v>
      </c>
      <c r="J14" s="12" t="n">
        <v>1.67792307692308</v>
      </c>
      <c r="K14" s="14" t="s">
        <v>41</v>
      </c>
      <c r="L14" s="9" t="n">
        <v>0.034</v>
      </c>
      <c r="M14" s="9" t="n">
        <v>0.0912301867964755</v>
      </c>
      <c r="O14" s="14"/>
      <c r="P14" s="6" t="s">
        <v>42</v>
      </c>
    </row>
    <row r="15" customFormat="false" ht="23.25" hidden="false" customHeight="true" outlineLevel="0" collapsed="false">
      <c r="A15" s="6" t="s">
        <v>8</v>
      </c>
      <c r="B15" s="6" t="s">
        <v>52</v>
      </c>
      <c r="C15" s="11" t="n">
        <v>44410</v>
      </c>
      <c r="D15" s="11" t="n">
        <v>44500</v>
      </c>
      <c r="E15" s="7" t="n">
        <v>2.93384615384615</v>
      </c>
      <c r="F15" s="12" t="n">
        <v>6.17186813186813</v>
      </c>
      <c r="G15" s="12" t="n">
        <v>0.703190318804171</v>
      </c>
      <c r="H15" s="9" t="n">
        <v>0.0562663359106461</v>
      </c>
      <c r="I15" s="13" t="n">
        <v>71.6010989010989</v>
      </c>
      <c r="J15" s="12" t="n">
        <v>1.69603296703297</v>
      </c>
      <c r="K15" s="14" t="s">
        <v>41</v>
      </c>
      <c r="L15" s="9" t="n">
        <v>0.055</v>
      </c>
      <c r="M15" s="9" t="n">
        <v>0.0808305465689501</v>
      </c>
      <c r="O15" s="14"/>
      <c r="P15" s="6" t="s">
        <v>42</v>
      </c>
    </row>
    <row r="16" customFormat="false" ht="23.25" hidden="false" customHeight="true" outlineLevel="0" collapsed="false">
      <c r="A16" s="6" t="s">
        <v>8</v>
      </c>
      <c r="B16" s="6" t="s">
        <v>53</v>
      </c>
      <c r="C16" s="11" t="n">
        <v>44501</v>
      </c>
      <c r="D16" s="11" t="n">
        <v>44591</v>
      </c>
      <c r="E16" s="7" t="n">
        <v>3.19538461538462</v>
      </c>
      <c r="F16" s="12" t="n">
        <v>6.3778021978022</v>
      </c>
      <c r="G16" s="12" t="n">
        <v>0.802473134029057</v>
      </c>
      <c r="H16" s="9" t="n">
        <v>0.071021416979598</v>
      </c>
      <c r="I16" s="13" t="n">
        <v>68.4241758241758</v>
      </c>
      <c r="J16" s="12" t="n">
        <v>1.85995604395604</v>
      </c>
      <c r="K16" s="14" t="s">
        <v>41</v>
      </c>
      <c r="L16" s="9" t="n">
        <v>0.076</v>
      </c>
      <c r="M16" s="9" t="n">
        <v>0.132022625467125</v>
      </c>
      <c r="O16" s="14"/>
      <c r="P16" s="6" t="s">
        <v>42</v>
      </c>
    </row>
    <row r="17" customFormat="false" ht="23.25" hidden="false" customHeight="true" outlineLevel="0" collapsed="false">
      <c r="A17" s="6" t="s">
        <v>8</v>
      </c>
      <c r="B17" s="6" t="s">
        <v>54</v>
      </c>
      <c r="C17" s="11" t="n">
        <v>44592</v>
      </c>
      <c r="D17" s="11" t="n">
        <v>44682</v>
      </c>
      <c r="E17" s="7" t="n">
        <v>4.29538461538462</v>
      </c>
      <c r="F17" s="12" t="n">
        <v>5.79824175824176</v>
      </c>
      <c r="G17" s="12" t="n">
        <v>0.700783853632723</v>
      </c>
      <c r="H17" s="9" t="n">
        <v>0.0819792213155925</v>
      </c>
      <c r="I17" s="13" t="n">
        <v>62.432967032967</v>
      </c>
      <c r="J17" s="12" t="n">
        <v>1.86440659340659</v>
      </c>
      <c r="K17" s="14" t="s">
        <v>41</v>
      </c>
      <c r="L17" s="9" t="n">
        <v>0.017</v>
      </c>
      <c r="M17" s="9" t="n">
        <v>0.04064288805815</v>
      </c>
      <c r="O17" s="14"/>
      <c r="P17" s="6" t="s">
        <v>42</v>
      </c>
    </row>
    <row r="18" customFormat="false" ht="23.25" hidden="false" customHeight="true" outlineLevel="0" collapsed="false">
      <c r="A18" s="6" t="s">
        <v>8</v>
      </c>
      <c r="B18" s="6" t="s">
        <v>55</v>
      </c>
      <c r="C18" s="11" t="n">
        <v>44683</v>
      </c>
      <c r="D18" s="11" t="n">
        <v>44773</v>
      </c>
      <c r="E18" s="7" t="n">
        <v>5.39846153846154</v>
      </c>
      <c r="F18" s="12" t="n">
        <v>5.11</v>
      </c>
      <c r="G18" s="12" t="n">
        <v>0.578920044907451</v>
      </c>
      <c r="H18" s="9" t="n">
        <v>0.0870071285984435</v>
      </c>
      <c r="I18" s="13" t="n">
        <v>53.2802197802198</v>
      </c>
      <c r="J18" s="12" t="n">
        <v>1.71458241758242</v>
      </c>
      <c r="K18" s="14" t="s">
        <v>41</v>
      </c>
      <c r="L18" s="9" t="n">
        <v>0.054</v>
      </c>
      <c r="M18" s="9" t="n">
        <v>0.066951674684878</v>
      </c>
      <c r="O18" s="14"/>
      <c r="P18" s="6" t="s">
        <v>42</v>
      </c>
    </row>
    <row r="19" customFormat="false" ht="23.25" hidden="false" customHeight="true" outlineLevel="0" collapsed="false">
      <c r="A19" s="6" t="s">
        <v>8</v>
      </c>
      <c r="B19" s="6" t="s">
        <v>56</v>
      </c>
      <c r="C19" s="11" t="n">
        <v>44774</v>
      </c>
      <c r="D19" s="11" t="n">
        <v>44864</v>
      </c>
      <c r="E19" s="7" t="n">
        <v>6.08076923076923</v>
      </c>
      <c r="F19" s="12" t="n">
        <v>4.64835164835165</v>
      </c>
      <c r="G19" s="12" t="n">
        <v>0.591019449188036</v>
      </c>
      <c r="H19" s="9" t="n">
        <v>0.0805792143313497</v>
      </c>
      <c r="I19" s="13" t="n">
        <v>58.8923076923077</v>
      </c>
      <c r="J19" s="12" t="n">
        <v>1.57785714285714</v>
      </c>
      <c r="K19" s="14" t="s">
        <v>41</v>
      </c>
      <c r="L19" s="9" t="n">
        <v>0.045</v>
      </c>
      <c r="M19" s="9" t="n">
        <v>0.103370008442264</v>
      </c>
      <c r="O19" s="14"/>
      <c r="P19" s="6" t="s">
        <v>42</v>
      </c>
    </row>
    <row r="20" customFormat="false" ht="23.25" hidden="false" customHeight="true" outlineLevel="0" collapsed="false">
      <c r="A20" s="6" t="s">
        <v>8</v>
      </c>
      <c r="B20" s="6" t="s">
        <v>57</v>
      </c>
      <c r="C20" s="11" t="n">
        <v>44865</v>
      </c>
      <c r="D20" s="11" t="n">
        <v>44955</v>
      </c>
      <c r="E20" s="7" t="n">
        <v>6.47153846153846</v>
      </c>
      <c r="F20" s="12" t="n">
        <v>4.04120879120879</v>
      </c>
      <c r="G20" s="12" t="n">
        <v>0.619183548672466</v>
      </c>
      <c r="H20" s="9" t="n">
        <v>0.0665035472897047</v>
      </c>
      <c r="I20" s="13" t="n">
        <v>60.4043956043956</v>
      </c>
      <c r="J20" s="12" t="n">
        <v>1.41497802197802</v>
      </c>
      <c r="K20" s="14" t="s">
        <v>41</v>
      </c>
      <c r="L20" s="9" t="n">
        <v>-0.003</v>
      </c>
      <c r="M20" s="9" t="n">
        <v>0.0210088369278414</v>
      </c>
      <c r="O20" s="14"/>
      <c r="P20" s="6" t="s">
        <v>42</v>
      </c>
    </row>
    <row r="21" customFormat="false" ht="23.25" hidden="false" customHeight="true" outlineLevel="0" collapsed="false">
      <c r="A21" s="6" t="s">
        <v>8</v>
      </c>
      <c r="B21" s="6" t="s">
        <v>58</v>
      </c>
      <c r="C21" s="11" t="n">
        <v>44956</v>
      </c>
      <c r="D21" s="11" t="n">
        <v>45046</v>
      </c>
      <c r="E21" s="7" t="n">
        <v>6.39384615384615</v>
      </c>
      <c r="F21" s="12" t="n">
        <v>4.42065934065934</v>
      </c>
      <c r="G21" s="12" t="n">
        <v>0.642963914766169</v>
      </c>
      <c r="H21" s="9" t="n">
        <v>0.0527241944780641</v>
      </c>
      <c r="I21" s="13" t="n">
        <v>64.1318681318681</v>
      </c>
      <c r="J21" s="12" t="n">
        <v>1.51503296703297</v>
      </c>
      <c r="K21" s="14" t="s">
        <v>41</v>
      </c>
      <c r="L21" s="9" t="n">
        <v>-0.046</v>
      </c>
      <c r="M21" s="9" t="n">
        <v>-0.0493475534560693</v>
      </c>
      <c r="O21" s="14"/>
      <c r="P21" s="6" t="s">
        <v>42</v>
      </c>
    </row>
    <row r="22" customFormat="false" ht="23.25" hidden="false" customHeight="true" outlineLevel="0" collapsed="false">
      <c r="A22" s="6" t="s">
        <v>8</v>
      </c>
      <c r="B22" s="6" t="s">
        <v>59</v>
      </c>
      <c r="C22" s="11" t="n">
        <v>45047</v>
      </c>
      <c r="D22" s="11" t="n">
        <v>45137</v>
      </c>
      <c r="E22" s="7" t="n">
        <v>6.66384615384615</v>
      </c>
      <c r="F22" s="12" t="n">
        <v>4.17802197802198</v>
      </c>
      <c r="G22" s="12" t="n">
        <v>0.717081330524156</v>
      </c>
      <c r="H22" s="9" t="n">
        <v>0.0338702427313165</v>
      </c>
      <c r="I22" s="13" t="n">
        <v>64.8351648351648</v>
      </c>
      <c r="J22" s="12" t="n">
        <v>1.51932967032967</v>
      </c>
      <c r="K22" s="14" t="s">
        <v>41</v>
      </c>
      <c r="L22" s="9" t="n">
        <v>-0.02</v>
      </c>
      <c r="M22" s="9" t="n">
        <v>-0.0244798177266722</v>
      </c>
      <c r="O22" s="14"/>
      <c r="P22" s="6" t="s">
        <v>42</v>
      </c>
    </row>
    <row r="23" customFormat="false" ht="23.25" hidden="false" customHeight="true" outlineLevel="0" collapsed="false">
      <c r="A23" s="6" t="s">
        <v>8</v>
      </c>
      <c r="B23" s="6" t="s">
        <v>60</v>
      </c>
      <c r="C23" s="11" t="n">
        <v>45138</v>
      </c>
      <c r="D23" s="11" t="n">
        <v>45228</v>
      </c>
      <c r="E23" s="7" t="n">
        <v>7.28</v>
      </c>
      <c r="F23" s="12" t="n">
        <v>3.93428571428571</v>
      </c>
      <c r="G23" s="12" t="n">
        <v>0.672120797516015</v>
      </c>
      <c r="H23" s="9" t="n">
        <v>0.0352892952579074</v>
      </c>
      <c r="I23" s="13" t="n">
        <v>67.110989010989</v>
      </c>
      <c r="J23" s="12" t="n">
        <v>1.55057142857143</v>
      </c>
      <c r="K23" s="14" t="s">
        <v>41</v>
      </c>
      <c r="L23" s="9" t="n">
        <v>-0.035</v>
      </c>
      <c r="M23" s="9" t="n">
        <v>-0.0413720211327141</v>
      </c>
      <c r="N23" s="9" t="n">
        <v>0.044</v>
      </c>
      <c r="O23" s="14"/>
      <c r="P23" s="6" t="s">
        <v>42</v>
      </c>
    </row>
    <row r="24" customFormat="false" ht="23.25" hidden="false" customHeight="true" outlineLevel="0" collapsed="false">
      <c r="A24" s="6" t="s">
        <v>8</v>
      </c>
      <c r="B24" s="6" t="s">
        <v>61</v>
      </c>
      <c r="C24" s="11" t="n">
        <v>45229</v>
      </c>
      <c r="D24" s="11" t="n">
        <v>45319</v>
      </c>
      <c r="E24" s="7" t="n">
        <v>7.00307692307692</v>
      </c>
      <c r="F24" s="12" t="n">
        <v>3.8610989010989</v>
      </c>
      <c r="G24" s="12" t="n">
        <v>0.641567655314305</v>
      </c>
      <c r="H24" s="9" t="n">
        <v>0.0319374186779993</v>
      </c>
      <c r="I24" s="13" t="n">
        <v>69.6626373626374</v>
      </c>
      <c r="J24" s="12" t="n">
        <v>1.51992307692308</v>
      </c>
      <c r="K24" s="14" t="s">
        <v>41</v>
      </c>
      <c r="L24" s="9" t="n">
        <v>-0.04</v>
      </c>
      <c r="M24" s="9" t="n">
        <v>-0.0437305523746553</v>
      </c>
      <c r="N24" s="9" t="n">
        <v>-0.01</v>
      </c>
      <c r="O24" s="14"/>
      <c r="P24" s="6" t="s">
        <v>42</v>
      </c>
    </row>
    <row r="25" customFormat="false" ht="23.25" hidden="false" customHeight="true" outlineLevel="0" collapsed="false">
      <c r="A25" s="6" t="s">
        <v>8</v>
      </c>
      <c r="B25" s="6" t="s">
        <v>62</v>
      </c>
      <c r="C25" s="11" t="n">
        <v>45320</v>
      </c>
      <c r="D25" s="11" t="n">
        <v>45410</v>
      </c>
      <c r="E25" s="7" t="n">
        <v>6.85615384615385</v>
      </c>
      <c r="F25" s="12" t="n">
        <v>4.2289010989011</v>
      </c>
      <c r="G25" s="12" t="n">
        <v>0.679846280051129</v>
      </c>
      <c r="H25" s="9" t="n">
        <v>0.0329943966567841</v>
      </c>
      <c r="I25" s="13" t="n">
        <v>77.9131868131868</v>
      </c>
      <c r="J25" s="12" t="n">
        <v>1.50251648351648</v>
      </c>
      <c r="K25" s="14" t="s">
        <v>41</v>
      </c>
      <c r="L25" s="9" t="n">
        <v>-0.032</v>
      </c>
      <c r="M25" s="9" t="n">
        <v>-0.0295858022005635</v>
      </c>
      <c r="N25" s="9" t="n">
        <v>-0.006</v>
      </c>
      <c r="O25" s="14"/>
      <c r="P25" s="6" t="s">
        <v>42</v>
      </c>
    </row>
    <row r="26" customFormat="false" ht="23.25" hidden="false" customHeight="true" outlineLevel="0" collapsed="false">
      <c r="A26" s="6" t="s">
        <v>8</v>
      </c>
      <c r="B26" s="6" t="s">
        <v>63</v>
      </c>
      <c r="C26" s="11" t="n">
        <v>45411</v>
      </c>
      <c r="D26" s="11" t="n">
        <v>45501</v>
      </c>
      <c r="E26" s="7" t="n">
        <v>6.95076923076923</v>
      </c>
      <c r="F26" s="12" t="n">
        <v>3.9889010989011</v>
      </c>
      <c r="G26" s="12" t="n">
        <v>0.694062082698877</v>
      </c>
      <c r="H26" s="9" t="n">
        <v>0.0304003284527501</v>
      </c>
      <c r="I26" s="13" t="n">
        <v>68.1505494505495</v>
      </c>
      <c r="J26" s="12" t="n">
        <v>1.43715384615385</v>
      </c>
      <c r="K26" s="14" t="s">
        <v>41</v>
      </c>
      <c r="L26" s="9" t="n">
        <v>-0.036</v>
      </c>
      <c r="M26" s="9" t="n">
        <v>-0.0170240348801852</v>
      </c>
      <c r="N26" s="9" t="n">
        <v>-0.023</v>
      </c>
      <c r="O26" s="14"/>
      <c r="P26" s="6" t="s">
        <v>42</v>
      </c>
    </row>
    <row r="27" customFormat="false" ht="23.25" hidden="false" customHeight="true" outlineLevel="0" collapsed="false">
      <c r="A27" s="6" t="s">
        <v>8</v>
      </c>
      <c r="B27" s="6" t="s">
        <v>64</v>
      </c>
      <c r="C27" s="11" t="n">
        <v>45502</v>
      </c>
      <c r="D27" s="11" t="n">
        <v>45592</v>
      </c>
      <c r="E27" s="7" t="n">
        <v>6.35692307692308</v>
      </c>
      <c r="F27" s="12" t="n">
        <v>3.88604395604396</v>
      </c>
      <c r="G27" s="12" t="n">
        <v>0.681628377481683</v>
      </c>
      <c r="H27" s="9" t="n">
        <v>0.0251836103885035</v>
      </c>
      <c r="I27" s="13" t="n">
        <v>69.3472527472528</v>
      </c>
      <c r="J27" s="12" t="n">
        <v>1.45023076923077</v>
      </c>
      <c r="K27" s="14" t="s">
        <v>41</v>
      </c>
      <c r="L27" s="9" t="n">
        <v>-0.012</v>
      </c>
      <c r="M27" s="9" t="n">
        <v>0.0170020225163401</v>
      </c>
      <c r="N27" s="9" t="n">
        <v>-0.025</v>
      </c>
      <c r="O27" s="14"/>
      <c r="P27" s="6" t="s">
        <v>42</v>
      </c>
    </row>
    <row r="28" customFormat="false" ht="23.25" hidden="false" customHeight="true" outlineLevel="0" collapsed="false">
      <c r="A28" s="6" t="s">
        <v>8</v>
      </c>
      <c r="B28" s="6" t="s">
        <v>65</v>
      </c>
      <c r="C28" s="11" t="n">
        <v>45593</v>
      </c>
      <c r="D28" s="11" t="n">
        <v>45690</v>
      </c>
      <c r="E28" s="7" t="n">
        <v>6.82785714285714</v>
      </c>
      <c r="F28" s="12" t="n">
        <v>4.15081632653061</v>
      </c>
      <c r="G28" s="12" t="n">
        <v>0.676056474900412</v>
      </c>
      <c r="H28" s="9" t="n">
        <v>0.0284999161695905</v>
      </c>
      <c r="I28" s="13" t="n">
        <v>72.2663265306123</v>
      </c>
      <c r="J28" s="12" t="n">
        <v>1.47777551020408</v>
      </c>
      <c r="K28" s="14" t="s">
        <v>41</v>
      </c>
      <c r="L28" s="9" t="n">
        <v>0.013</v>
      </c>
      <c r="M28" s="9" t="n">
        <v>0.0189475871494964</v>
      </c>
      <c r="N28" s="9" t="n">
        <v>-0.019</v>
      </c>
      <c r="O28" s="14"/>
      <c r="P28" s="6" t="s">
        <v>42</v>
      </c>
    </row>
    <row r="29" customFormat="false" ht="23.25" hidden="false" customHeight="true" outlineLevel="0" collapsed="false">
      <c r="A29" s="6" t="s">
        <v>8</v>
      </c>
      <c r="B29" s="6" t="s">
        <v>66</v>
      </c>
      <c r="C29" s="11" t="n">
        <v>45691</v>
      </c>
      <c r="D29" s="11" t="n">
        <v>45781</v>
      </c>
      <c r="E29" s="7" t="n">
        <v>6.74076923076923</v>
      </c>
      <c r="F29" s="12" t="n">
        <v>4.08241758241758</v>
      </c>
      <c r="G29" s="12" t="n">
        <v>0.665150037078984</v>
      </c>
      <c r="H29" s="9" t="n">
        <v>0.0247168381348384</v>
      </c>
      <c r="I29" s="13" t="n">
        <v>57.4065934065934</v>
      </c>
      <c r="J29" s="12" t="n">
        <v>1.46002197802198</v>
      </c>
      <c r="K29" s="14" t="s">
        <v>41</v>
      </c>
      <c r="L29" s="9" t="n">
        <v>0.002</v>
      </c>
      <c r="M29" s="9" t="n">
        <v>0.0290387446865359</v>
      </c>
      <c r="N29" s="9" t="n">
        <v>-0.001</v>
      </c>
      <c r="O29" s="14"/>
      <c r="P29" s="6" t="s">
        <v>42</v>
      </c>
    </row>
    <row r="30" customFormat="false" ht="23.25" hidden="false" customHeight="true" outlineLevel="0" collapsed="false">
      <c r="A30" s="6" t="s">
        <v>8</v>
      </c>
      <c r="B30" s="6" t="s">
        <v>67</v>
      </c>
      <c r="C30" s="11" t="n">
        <v>45782</v>
      </c>
      <c r="D30" s="11" t="n">
        <v>45872</v>
      </c>
      <c r="E30" s="7" t="n">
        <v>6.78384615384615</v>
      </c>
      <c r="F30" s="12" t="n">
        <v>3.98923076923077</v>
      </c>
      <c r="G30" s="12" t="n">
        <v>0.647620086157546</v>
      </c>
      <c r="H30" s="9" t="n">
        <v>0.0259373389040527</v>
      </c>
      <c r="I30" s="13" t="n">
        <v>58.4362637362637</v>
      </c>
      <c r="J30" s="12" t="n">
        <v>1.40267032967033</v>
      </c>
      <c r="K30" s="14" t="s">
        <v>41</v>
      </c>
      <c r="L30" s="9" t="n">
        <v>0.014</v>
      </c>
      <c r="M30" s="9" t="n">
        <v>-0.0171724922804344</v>
      </c>
      <c r="N30" s="9" t="n">
        <v>0.012</v>
      </c>
      <c r="O30" s="14"/>
      <c r="P30" s="6" t="s">
        <v>42</v>
      </c>
    </row>
    <row r="31" customFormat="false" ht="23.25" hidden="false" customHeight="true" outlineLevel="0" collapsed="false">
      <c r="A31" s="6" t="s">
        <v>8</v>
      </c>
      <c r="B31" s="6" t="s">
        <v>68</v>
      </c>
      <c r="C31" s="11" t="n">
        <v>45873</v>
      </c>
      <c r="D31" s="11" t="n">
        <v>45963</v>
      </c>
      <c r="E31" s="7" t="n">
        <v>6.38692307692308</v>
      </c>
      <c r="F31" s="12" t="n">
        <v>4.0567032967033</v>
      </c>
      <c r="G31" s="12" t="n">
        <v>0.688953576043563</v>
      </c>
      <c r="H31" s="9" t="n">
        <v>0.0289738950948526</v>
      </c>
      <c r="I31" s="13" t="n">
        <v>55.4527472527473</v>
      </c>
      <c r="J31" s="12" t="n">
        <v>1.40463736263736</v>
      </c>
      <c r="K31" s="14" t="s">
        <v>41</v>
      </c>
      <c r="L31" s="9" t="n">
        <v>0.001</v>
      </c>
      <c r="M31" s="9" t="n">
        <v>-0.0342463232009609</v>
      </c>
      <c r="N31" s="9" t="n">
        <v>0.016</v>
      </c>
      <c r="O31" s="14"/>
      <c r="P31" s="6" t="s">
        <v>42</v>
      </c>
    </row>
    <row r="32" customFormat="false" ht="23.25" hidden="false" customHeight="true" outlineLevel="0" collapsed="false">
      <c r="A32" s="6" t="s">
        <v>8</v>
      </c>
      <c r="B32" s="6" t="s">
        <v>69</v>
      </c>
      <c r="C32" s="11" t="n">
        <v>45964</v>
      </c>
      <c r="D32" s="11" t="n">
        <v>46054</v>
      </c>
      <c r="E32" s="7" t="n">
        <v>6.17769230769231</v>
      </c>
      <c r="F32" s="12" t="n">
        <v>4.12956043956044</v>
      </c>
      <c r="G32" s="12" t="n">
        <v>0.682602266729797</v>
      </c>
      <c r="H32" s="9" t="n">
        <v>0.0257973878102356</v>
      </c>
      <c r="I32" s="13" t="n">
        <v>53.5483516483516</v>
      </c>
      <c r="J32" s="12" t="n">
        <v>1.4313956043956</v>
      </c>
      <c r="K32" s="14" t="s">
        <v>41</v>
      </c>
      <c r="L32" s="9" t="n">
        <v>0.003</v>
      </c>
      <c r="M32" s="9" t="n">
        <v>0.00441845982971012</v>
      </c>
      <c r="N32" s="9" t="n">
        <v>0.018</v>
      </c>
      <c r="O32" s="14"/>
      <c r="P32" s="6" t="s">
        <v>42</v>
      </c>
    </row>
    <row r="33" customFormat="false" ht="23.25" hidden="false" customHeight="true" outlineLevel="0" collapsed="false">
      <c r="A33" s="6" t="s">
        <v>8</v>
      </c>
      <c r="B33" s="6" t="s">
        <v>70</v>
      </c>
      <c r="C33" s="11" t="n">
        <v>46055</v>
      </c>
      <c r="D33" s="11" t="n">
        <v>46145</v>
      </c>
      <c r="E33" s="7" t="n">
        <v>6.19692307692308</v>
      </c>
      <c r="F33" s="12" t="n">
        <v>4.03208791208791</v>
      </c>
      <c r="G33" s="12" t="n">
        <v>0.644751132279414</v>
      </c>
      <c r="H33" s="9" t="n">
        <v>0.0321486437439045</v>
      </c>
      <c r="I33" s="13" t="n">
        <v>52.8450549450549</v>
      </c>
      <c r="J33" s="12" t="n">
        <v>1.43684615384615</v>
      </c>
      <c r="K33" s="14" t="s">
        <v>41</v>
      </c>
      <c r="L33" s="9" t="n">
        <v>0.004</v>
      </c>
      <c r="M33" s="9" t="n">
        <v>0.0379227702180347</v>
      </c>
      <c r="N33" s="9" t="n">
        <v>0.019</v>
      </c>
      <c r="O33" s="14"/>
      <c r="P33" s="6" t="s">
        <v>42</v>
      </c>
    </row>
    <row r="34" customFormat="false" ht="45.75" hidden="false" customHeight="true" outlineLevel="0" collapsed="false">
      <c r="A34" s="6" t="s">
        <v>8</v>
      </c>
      <c r="B34" s="6" t="s">
        <v>71</v>
      </c>
      <c r="C34" s="11" t="n">
        <v>46146</v>
      </c>
      <c r="D34" s="11" t="n">
        <v>46236</v>
      </c>
      <c r="E34" s="7" t="n">
        <v>6.49538461538462</v>
      </c>
      <c r="F34" s="15"/>
      <c r="G34" s="15"/>
      <c r="H34" s="16" t="n">
        <v>0.0367817006834343</v>
      </c>
      <c r="I34" s="17"/>
      <c r="J34" s="15"/>
      <c r="K34" s="18" t="s">
        <v>72</v>
      </c>
      <c r="L34" s="9" t="n">
        <v>0.013</v>
      </c>
      <c r="M34" s="19"/>
      <c r="N34" s="9" t="n">
        <v>0.02</v>
      </c>
      <c r="O34" s="18" t="s">
        <v>73</v>
      </c>
      <c r="P34" s="6" t="s">
        <v>42</v>
      </c>
    </row>
    <row r="35" customFormat="false" ht="23.25" hidden="false" customHeight="true" outlineLevel="0" collapsed="false">
      <c r="A35" s="19" t="s">
        <v>8</v>
      </c>
      <c r="B35" s="19" t="s">
        <v>9</v>
      </c>
      <c r="C35" s="20" t="n">
        <v>46237</v>
      </c>
      <c r="D35" s="20" t="n">
        <v>46327</v>
      </c>
      <c r="K35" s="19" t="s">
        <v>74</v>
      </c>
      <c r="L35" s="21" t="n">
        <f aca="false">'Point Estimates'!B20</f>
        <v>0.00795080423116057</v>
      </c>
      <c r="N35" s="16" t="n">
        <v>0.021</v>
      </c>
      <c r="O35" s="18" t="s">
        <v>75</v>
      </c>
      <c r="P35" s="19" t="s">
        <v>76</v>
      </c>
    </row>
    <row r="36" customFormat="false" ht="23.25" hidden="false" customHeight="true" outlineLevel="0" collapsed="false">
      <c r="A36" s="19" t="s">
        <v>8</v>
      </c>
      <c r="B36" s="19" t="s">
        <v>11</v>
      </c>
      <c r="C36" s="20" t="n">
        <v>46328</v>
      </c>
      <c r="D36" s="20" t="n">
        <v>46418</v>
      </c>
      <c r="K36" s="19" t="s">
        <v>74</v>
      </c>
      <c r="L36" s="21" t="n">
        <f aca="false">'Point Estimates'!B35</f>
        <v>0.00908034671518413</v>
      </c>
      <c r="N36" s="16" t="n">
        <v>0.021</v>
      </c>
      <c r="O36" s="18" t="s">
        <v>75</v>
      </c>
      <c r="P36" s="19" t="s">
        <v>76</v>
      </c>
    </row>
    <row r="37" customFormat="false" ht="23.25" hidden="false" customHeight="true" outlineLevel="0" collapsed="false">
      <c r="A37" s="19" t="s">
        <v>8</v>
      </c>
      <c r="B37" s="19" t="s">
        <v>13</v>
      </c>
      <c r="C37" s="20" t="n">
        <v>46419</v>
      </c>
      <c r="D37" s="20" t="n">
        <v>46509</v>
      </c>
      <c r="K37" s="19" t="s">
        <v>74</v>
      </c>
      <c r="L37" s="21" t="n">
        <f aca="false">'Point Estimates'!B53</f>
        <v>0.00225661654313813</v>
      </c>
      <c r="N37" s="16" t="n">
        <v>0.007</v>
      </c>
      <c r="O37" s="18" t="s">
        <v>75</v>
      </c>
      <c r="P37" s="19" t="s">
        <v>76</v>
      </c>
    </row>
    <row r="38" customFormat="false" ht="23.25" hidden="false" customHeight="true" outlineLevel="0" collapsed="false">
      <c r="A38" s="19" t="s">
        <v>8</v>
      </c>
      <c r="B38" s="19" t="s">
        <v>15</v>
      </c>
      <c r="C38" s="20" t="n">
        <v>46510</v>
      </c>
      <c r="D38" s="20" t="n">
        <v>46600</v>
      </c>
      <c r="K38" s="19" t="s">
        <v>74</v>
      </c>
      <c r="L38" s="21" t="n">
        <f aca="false">'Point Estimates'!B73</f>
        <v>-0.0022061320769571</v>
      </c>
      <c r="N38" s="16" t="n">
        <v>0.005</v>
      </c>
      <c r="O38" s="18" t="s">
        <v>75</v>
      </c>
      <c r="P38" s="19" t="s">
        <v>76</v>
      </c>
    </row>
    <row r="39" customFormat="false" ht="23.25" hidden="false" customHeight="true" outlineLevel="0" collapsed="false">
      <c r="A39" s="6" t="s">
        <v>17</v>
      </c>
      <c r="B39" s="6" t="s">
        <v>40</v>
      </c>
      <c r="C39" s="11" t="n">
        <v>43498</v>
      </c>
      <c r="D39" s="11" t="n">
        <v>43588</v>
      </c>
      <c r="E39" s="7" t="n">
        <v>4.25</v>
      </c>
      <c r="F39" s="12" t="n">
        <v>5.2967032967033</v>
      </c>
      <c r="G39" s="12" t="n">
        <v>0.688694690980751</v>
      </c>
      <c r="H39" s="9" t="n">
        <v>0.0179150959464858</v>
      </c>
      <c r="I39" s="13" t="n">
        <v>96.6923076923077</v>
      </c>
      <c r="J39" s="12" t="n">
        <v>1.30294505494506</v>
      </c>
      <c r="K39" s="14" t="s">
        <v>41</v>
      </c>
      <c r="L39" s="9" t="n">
        <v>0.042</v>
      </c>
      <c r="M39" s="6"/>
      <c r="O39" s="14"/>
      <c r="P39" s="6" t="s">
        <v>42</v>
      </c>
    </row>
    <row r="40" customFormat="false" ht="23.25" hidden="false" customHeight="true" outlineLevel="0" collapsed="false">
      <c r="A40" s="6" t="s">
        <v>17</v>
      </c>
      <c r="B40" s="6" t="s">
        <v>43</v>
      </c>
      <c r="C40" s="11" t="n">
        <v>43589</v>
      </c>
      <c r="D40" s="11" t="n">
        <v>43679</v>
      </c>
      <c r="E40" s="7" t="n">
        <v>3.86461538461538</v>
      </c>
      <c r="F40" s="12" t="n">
        <v>5.34747252747253</v>
      </c>
      <c r="G40" s="12" t="n">
        <v>0.666928638996663</v>
      </c>
      <c r="H40" s="9" t="n">
        <v>0.017473497208039</v>
      </c>
      <c r="I40" s="13" t="n">
        <v>98.6373626373626</v>
      </c>
      <c r="J40" s="12" t="n">
        <v>1.34504395604396</v>
      </c>
      <c r="K40" s="14" t="s">
        <v>41</v>
      </c>
      <c r="L40" s="9" t="n">
        <v>0.032</v>
      </c>
      <c r="M40" s="6"/>
      <c r="O40" s="14"/>
      <c r="P40" s="6" t="s">
        <v>42</v>
      </c>
    </row>
    <row r="41" customFormat="false" ht="23.25" hidden="false" customHeight="true" outlineLevel="0" collapsed="false">
      <c r="A41" s="6" t="s">
        <v>17</v>
      </c>
      <c r="B41" s="6" t="s">
        <v>44</v>
      </c>
      <c r="C41" s="11" t="n">
        <v>43680</v>
      </c>
      <c r="D41" s="11" t="n">
        <v>43770</v>
      </c>
      <c r="E41" s="7" t="n">
        <v>3.63</v>
      </c>
      <c r="F41" s="12" t="n">
        <v>5.44197802197802</v>
      </c>
      <c r="G41" s="12" t="n">
        <v>0.715325720731326</v>
      </c>
      <c r="H41" s="9" t="n">
        <v>0.0174575024016677</v>
      </c>
      <c r="I41" s="13" t="n">
        <v>92.9395604395604</v>
      </c>
      <c r="J41" s="12" t="n">
        <v>1.49226373626374</v>
      </c>
      <c r="K41" s="14" t="s">
        <v>41</v>
      </c>
      <c r="L41" s="9" t="n">
        <v>0.03</v>
      </c>
      <c r="M41" s="6"/>
      <c r="O41" s="14"/>
      <c r="P41" s="6" t="s">
        <v>42</v>
      </c>
    </row>
    <row r="42" customFormat="false" ht="23.25" hidden="false" customHeight="true" outlineLevel="0" collapsed="false">
      <c r="A42" s="6" t="s">
        <v>17</v>
      </c>
      <c r="B42" s="6" t="s">
        <v>45</v>
      </c>
      <c r="C42" s="11" t="n">
        <v>43771</v>
      </c>
      <c r="D42" s="11" t="n">
        <v>43861</v>
      </c>
      <c r="E42" s="7" t="n">
        <v>3.67538461538462</v>
      </c>
      <c r="F42" s="12" t="n">
        <v>5.4521978021978</v>
      </c>
      <c r="G42" s="12" t="n">
        <v>0.700167886680452</v>
      </c>
      <c r="H42" s="9" t="n">
        <v>0.0227583480032776</v>
      </c>
      <c r="I42" s="13" t="n">
        <v>98.6736263736264</v>
      </c>
      <c r="J42" s="12" t="n">
        <v>1.48832967032967</v>
      </c>
      <c r="K42" s="14" t="s">
        <v>41</v>
      </c>
      <c r="L42" s="9" t="n">
        <v>0.026</v>
      </c>
      <c r="M42" s="6"/>
      <c r="O42" s="14"/>
      <c r="P42" s="6" t="s">
        <v>42</v>
      </c>
    </row>
    <row r="43" customFormat="false" ht="23.25" hidden="false" customHeight="true" outlineLevel="0" collapsed="false">
      <c r="A43" s="6" t="s">
        <v>17</v>
      </c>
      <c r="B43" s="6" t="s">
        <v>46</v>
      </c>
      <c r="C43" s="11" t="n">
        <v>43862</v>
      </c>
      <c r="D43" s="11" t="n">
        <v>43952</v>
      </c>
      <c r="E43" s="7" t="n">
        <v>3.39923076923077</v>
      </c>
      <c r="F43" s="12" t="n">
        <v>5.1045054945055</v>
      </c>
      <c r="G43" s="12" t="n">
        <v>0.636343112460091</v>
      </c>
      <c r="H43" s="9" t="n">
        <v>0.0134555722510832</v>
      </c>
      <c r="I43" s="13" t="n">
        <v>87.0043956043956</v>
      </c>
      <c r="J43" s="12" t="n">
        <v>1.29528571428571</v>
      </c>
      <c r="K43" s="14" t="s">
        <v>41</v>
      </c>
      <c r="L43" s="9" t="n">
        <v>0.123</v>
      </c>
      <c r="M43" s="9" t="n">
        <v>0.0413575243059494</v>
      </c>
      <c r="O43" s="14"/>
      <c r="P43" s="6" t="s">
        <v>42</v>
      </c>
    </row>
    <row r="44" customFormat="false" ht="23.25" hidden="false" customHeight="true" outlineLevel="0" collapsed="false">
      <c r="A44" s="6" t="s">
        <v>17</v>
      </c>
      <c r="B44" s="6" t="s">
        <v>47</v>
      </c>
      <c r="C44" s="11" t="n">
        <v>43953</v>
      </c>
      <c r="D44" s="11" t="n">
        <v>44043</v>
      </c>
      <c r="E44" s="7" t="n">
        <v>3.12769230769231</v>
      </c>
      <c r="F44" s="12" t="n">
        <v>4.84131868131868</v>
      </c>
      <c r="G44" s="12" t="n">
        <v>0.864324574718959</v>
      </c>
      <c r="H44" s="9" t="n">
        <v>0.00583911547035387</v>
      </c>
      <c r="I44" s="13" t="n">
        <v>74.2802197802198</v>
      </c>
      <c r="J44" s="12" t="n">
        <v>1.37614285714286</v>
      </c>
      <c r="K44" s="14" t="s">
        <v>41</v>
      </c>
      <c r="L44" s="9" t="n">
        <v>0.351</v>
      </c>
      <c r="M44" s="9" t="n">
        <v>0.175124678952681</v>
      </c>
      <c r="O44" s="14"/>
      <c r="P44" s="6" t="s">
        <v>42</v>
      </c>
    </row>
    <row r="45" customFormat="false" ht="23.25" hidden="false" customHeight="true" outlineLevel="0" collapsed="false">
      <c r="A45" s="6" t="s">
        <v>17</v>
      </c>
      <c r="B45" s="6" t="s">
        <v>48</v>
      </c>
      <c r="C45" s="11" t="n">
        <v>44044</v>
      </c>
      <c r="D45" s="11" t="n">
        <v>44134</v>
      </c>
      <c r="E45" s="7" t="n">
        <v>2.88230769230769</v>
      </c>
      <c r="F45" s="12" t="n">
        <v>6.45824175824176</v>
      </c>
      <c r="G45" s="12" t="n">
        <v>1.0085209926236</v>
      </c>
      <c r="H45" s="9" t="n">
        <v>0.0128160433325733</v>
      </c>
      <c r="I45" s="13" t="n">
        <v>78.7153846153846</v>
      </c>
      <c r="J45" s="12" t="n">
        <v>1.59795604395604</v>
      </c>
      <c r="K45" s="14" t="s">
        <v>41</v>
      </c>
      <c r="L45" s="9" t="n">
        <v>0.304</v>
      </c>
      <c r="M45" s="9" t="n">
        <v>0.161010289523406</v>
      </c>
      <c r="O45" s="14"/>
      <c r="P45" s="6" t="s">
        <v>42</v>
      </c>
    </row>
    <row r="46" customFormat="false" ht="23.25" hidden="false" customHeight="true" outlineLevel="0" collapsed="false">
      <c r="A46" s="6" t="s">
        <v>17</v>
      </c>
      <c r="B46" s="6" t="s">
        <v>49</v>
      </c>
      <c r="C46" s="11" t="n">
        <v>44135</v>
      </c>
      <c r="D46" s="11" t="n">
        <v>44225</v>
      </c>
      <c r="E46" s="7" t="n">
        <v>2.72461538461539</v>
      </c>
      <c r="F46" s="12" t="n">
        <v>6.7156043956044</v>
      </c>
      <c r="G46" s="12" t="n">
        <v>0.884505798686037</v>
      </c>
      <c r="H46" s="9" t="n">
        <v>0.0130432386158697</v>
      </c>
      <c r="I46" s="13" t="n">
        <v>78.9175824175824</v>
      </c>
      <c r="J46" s="12" t="n">
        <v>1.76484615384615</v>
      </c>
      <c r="K46" s="14" t="s">
        <v>41</v>
      </c>
      <c r="L46" s="9" t="n">
        <v>0.286</v>
      </c>
      <c r="M46" s="9" t="n">
        <v>0.177235342181932</v>
      </c>
      <c r="O46" s="14"/>
      <c r="P46" s="6" t="s">
        <v>42</v>
      </c>
    </row>
    <row r="47" customFormat="false" ht="23.25" hidden="false" customHeight="true" outlineLevel="0" collapsed="false">
      <c r="A47" s="6" t="s">
        <v>17</v>
      </c>
      <c r="B47" s="6" t="s">
        <v>50</v>
      </c>
      <c r="C47" s="11" t="n">
        <v>44226</v>
      </c>
      <c r="D47" s="11" t="n">
        <v>44316</v>
      </c>
      <c r="E47" s="7" t="n">
        <v>2.99</v>
      </c>
      <c r="F47" s="12" t="n">
        <v>6.03681318681319</v>
      </c>
      <c r="G47" s="12" t="n">
        <v>0.816873080619641</v>
      </c>
      <c r="H47" s="9" t="n">
        <v>0.0281038685674084</v>
      </c>
      <c r="I47" s="13" t="n">
        <v>83.3989010989011</v>
      </c>
      <c r="J47" s="12" t="n">
        <v>1.72672527472527</v>
      </c>
      <c r="K47" s="14" t="s">
        <v>41</v>
      </c>
      <c r="L47" s="9" t="n">
        <v>0.244</v>
      </c>
      <c r="M47" s="9" t="n">
        <v>0.281857797913536</v>
      </c>
      <c r="O47" s="14"/>
      <c r="P47" s="6" t="s">
        <v>42</v>
      </c>
    </row>
    <row r="48" customFormat="false" ht="23.25" hidden="false" customHeight="true" outlineLevel="0" collapsed="false">
      <c r="A48" s="6" t="s">
        <v>17</v>
      </c>
      <c r="B48" s="6" t="s">
        <v>51</v>
      </c>
      <c r="C48" s="11" t="n">
        <v>44317</v>
      </c>
      <c r="D48" s="11" t="n">
        <v>44407</v>
      </c>
      <c r="E48" s="7" t="n">
        <v>2.93</v>
      </c>
      <c r="F48" s="12" t="n">
        <v>5.88241758241758</v>
      </c>
      <c r="G48" s="12" t="n">
        <v>0.725175794418979</v>
      </c>
      <c r="H48" s="9" t="n">
        <v>0.0523557540050232</v>
      </c>
      <c r="I48" s="13" t="n">
        <v>83.1967032967033</v>
      </c>
      <c r="J48" s="12" t="n">
        <v>1.67796703296703</v>
      </c>
      <c r="K48" s="14" t="s">
        <v>41</v>
      </c>
      <c r="L48" s="9" t="n">
        <v>-0.022</v>
      </c>
      <c r="M48" s="9" t="n">
        <v>0.0911303941382982</v>
      </c>
      <c r="O48" s="14"/>
      <c r="P48" s="6" t="s">
        <v>42</v>
      </c>
    </row>
    <row r="49" customFormat="false" ht="23.25" hidden="false" customHeight="true" outlineLevel="0" collapsed="false">
      <c r="A49" s="6" t="s">
        <v>17</v>
      </c>
      <c r="B49" s="6" t="s">
        <v>52</v>
      </c>
      <c r="C49" s="11" t="n">
        <v>44408</v>
      </c>
      <c r="D49" s="11" t="n">
        <v>44498</v>
      </c>
      <c r="E49" s="7" t="n">
        <v>2.93384615384615</v>
      </c>
      <c r="F49" s="12" t="n">
        <v>6.16296703296703</v>
      </c>
      <c r="G49" s="12" t="n">
        <v>0.703790134836729</v>
      </c>
      <c r="H49" s="9" t="n">
        <v>0.05602209321272</v>
      </c>
      <c r="I49" s="13" t="n">
        <v>71.6901098901099</v>
      </c>
      <c r="J49" s="12" t="n">
        <v>1.69612087912088</v>
      </c>
      <c r="K49" s="14" t="s">
        <v>41</v>
      </c>
      <c r="L49" s="9" t="n">
        <v>0.026</v>
      </c>
      <c r="M49" s="9" t="n">
        <v>0.0814120240388931</v>
      </c>
      <c r="O49" s="14"/>
      <c r="P49" s="6" t="s">
        <v>42</v>
      </c>
    </row>
    <row r="50" customFormat="false" ht="23.25" hidden="false" customHeight="true" outlineLevel="0" collapsed="false">
      <c r="A50" s="6" t="s">
        <v>17</v>
      </c>
      <c r="B50" s="6" t="s">
        <v>53</v>
      </c>
      <c r="C50" s="11" t="n">
        <v>44499</v>
      </c>
      <c r="D50" s="11" t="n">
        <v>44589</v>
      </c>
      <c r="E50" s="7" t="n">
        <v>3.19538461538462</v>
      </c>
      <c r="F50" s="12" t="n">
        <v>6.37428571428571</v>
      </c>
      <c r="G50" s="12" t="n">
        <v>0.799834466650506</v>
      </c>
      <c r="H50" s="9" t="n">
        <v>0.0707521083891811</v>
      </c>
      <c r="I50" s="13" t="n">
        <v>68.5230769230769</v>
      </c>
      <c r="J50" s="12" t="n">
        <v>1.85503296703297</v>
      </c>
      <c r="K50" s="14" t="s">
        <v>41</v>
      </c>
      <c r="L50" s="9" t="n">
        <v>0.051</v>
      </c>
      <c r="M50" s="9" t="n">
        <v>0.13183235338023</v>
      </c>
      <c r="O50" s="14"/>
      <c r="P50" s="6" t="s">
        <v>42</v>
      </c>
    </row>
    <row r="51" customFormat="false" ht="23.25" hidden="false" customHeight="true" outlineLevel="0" collapsed="false">
      <c r="A51" s="6" t="s">
        <v>17</v>
      </c>
      <c r="B51" s="6" t="s">
        <v>54</v>
      </c>
      <c r="C51" s="11" t="n">
        <v>44590</v>
      </c>
      <c r="D51" s="11" t="n">
        <v>44680</v>
      </c>
      <c r="E51" s="7" t="n">
        <v>4.29538461538462</v>
      </c>
      <c r="F51" s="12" t="n">
        <v>5.82</v>
      </c>
      <c r="G51" s="12" t="n">
        <v>0.704820741485501</v>
      </c>
      <c r="H51" s="9" t="n">
        <v>0.0818699411535206</v>
      </c>
      <c r="I51" s="13" t="n">
        <v>62.5516483516483</v>
      </c>
      <c r="J51" s="12" t="n">
        <v>1.86754945054945</v>
      </c>
      <c r="K51" s="14" t="s">
        <v>41</v>
      </c>
      <c r="L51" s="9" t="n">
        <v>-0.038</v>
      </c>
      <c r="M51" s="9" t="n">
        <v>0.0413254790835627</v>
      </c>
      <c r="O51" s="14"/>
      <c r="P51" s="6" t="s">
        <v>42</v>
      </c>
    </row>
    <row r="52" customFormat="false" ht="23.25" hidden="false" customHeight="true" outlineLevel="0" collapsed="false">
      <c r="A52" s="6" t="s">
        <v>17</v>
      </c>
      <c r="B52" s="6" t="s">
        <v>55</v>
      </c>
      <c r="C52" s="11" t="n">
        <v>44681</v>
      </c>
      <c r="D52" s="11" t="n">
        <v>44771</v>
      </c>
      <c r="E52" s="7" t="n">
        <v>5.39846153846154</v>
      </c>
      <c r="F52" s="12" t="n">
        <v>5.12538461538462</v>
      </c>
      <c r="G52" s="12" t="n">
        <v>0.580911599859474</v>
      </c>
      <c r="H52" s="9" t="n">
        <v>0.0869157699207441</v>
      </c>
      <c r="I52" s="13" t="n">
        <v>53.5065934065934</v>
      </c>
      <c r="J52" s="12" t="n">
        <v>1.71618681318681</v>
      </c>
      <c r="K52" s="14" t="s">
        <v>41</v>
      </c>
      <c r="L52" s="9" t="n">
        <v>0.002</v>
      </c>
      <c r="M52" s="9" t="n">
        <v>0.0665160241948233</v>
      </c>
      <c r="O52" s="14"/>
      <c r="P52" s="6" t="s">
        <v>42</v>
      </c>
    </row>
    <row r="53" customFormat="false" ht="23.25" hidden="false" customHeight="true" outlineLevel="0" collapsed="false">
      <c r="A53" s="6" t="s">
        <v>17</v>
      </c>
      <c r="B53" s="6" t="s">
        <v>56</v>
      </c>
      <c r="C53" s="11" t="n">
        <v>44772</v>
      </c>
      <c r="D53" s="11" t="n">
        <v>44862</v>
      </c>
      <c r="E53" s="7" t="n">
        <v>6.08076923076923</v>
      </c>
      <c r="F53" s="12" t="n">
        <v>4.6567032967033</v>
      </c>
      <c r="G53" s="12" t="n">
        <v>0.589904203845624</v>
      </c>
      <c r="H53" s="9" t="n">
        <v>0.0807259297836855</v>
      </c>
      <c r="I53" s="13" t="n">
        <v>58.7076923076923</v>
      </c>
      <c r="J53" s="12" t="n">
        <v>1.58058241758242</v>
      </c>
      <c r="K53" s="14" t="s">
        <v>41</v>
      </c>
      <c r="L53" s="9" t="n">
        <v>0.03</v>
      </c>
      <c r="M53" s="9" t="n">
        <v>0.103062646598313</v>
      </c>
      <c r="O53" s="14"/>
      <c r="P53" s="6" t="s">
        <v>42</v>
      </c>
    </row>
    <row r="54" customFormat="false" ht="23.25" hidden="false" customHeight="true" outlineLevel="0" collapsed="false">
      <c r="A54" s="6" t="s">
        <v>17</v>
      </c>
      <c r="B54" s="6" t="s">
        <v>57</v>
      </c>
      <c r="C54" s="11" t="n">
        <v>44863</v>
      </c>
      <c r="D54" s="11" t="n">
        <v>44960</v>
      </c>
      <c r="E54" s="7" t="n">
        <v>6.44428571428571</v>
      </c>
      <c r="F54" s="12" t="n">
        <v>4.06479591836735</v>
      </c>
      <c r="G54" s="12" t="n">
        <v>0.619602470784543</v>
      </c>
      <c r="H54" s="9" t="n">
        <v>0.0663843532640474</v>
      </c>
      <c r="I54" s="13" t="n">
        <v>60.684693877551</v>
      </c>
      <c r="J54" s="12" t="n">
        <v>1.42428571428571</v>
      </c>
      <c r="K54" s="14" t="s">
        <v>41</v>
      </c>
      <c r="L54" s="9" t="n">
        <v>-0.007</v>
      </c>
      <c r="M54" s="9" t="n">
        <v>0.0222572833302928</v>
      </c>
      <c r="O54" s="14"/>
      <c r="P54" s="6" t="s">
        <v>42</v>
      </c>
    </row>
    <row r="55" customFormat="false" ht="23.25" hidden="false" customHeight="true" outlineLevel="0" collapsed="false">
      <c r="A55" s="6" t="s">
        <v>17</v>
      </c>
      <c r="B55" s="6" t="s">
        <v>58</v>
      </c>
      <c r="C55" s="11" t="n">
        <v>44961</v>
      </c>
      <c r="D55" s="11" t="n">
        <v>45051</v>
      </c>
      <c r="E55" s="7" t="n">
        <v>6.41692307692308</v>
      </c>
      <c r="F55" s="12" t="n">
        <v>4.41802197802198</v>
      </c>
      <c r="G55" s="12" t="n">
        <v>0.648209800638444</v>
      </c>
      <c r="H55" s="9" t="n">
        <v>0.0516499499366203</v>
      </c>
      <c r="I55" s="13" t="n">
        <v>63.7417582417582</v>
      </c>
      <c r="J55" s="12" t="n">
        <v>1.51771428571429</v>
      </c>
      <c r="K55" s="14" t="s">
        <v>41</v>
      </c>
      <c r="L55" s="9" t="n">
        <v>-0.043</v>
      </c>
      <c r="M55" s="9" t="n">
        <v>-0.0242670978873853</v>
      </c>
      <c r="O55" s="14"/>
      <c r="P55" s="6" t="s">
        <v>42</v>
      </c>
    </row>
    <row r="56" customFormat="false" ht="23.25" hidden="false" customHeight="true" outlineLevel="0" collapsed="false">
      <c r="A56" s="6" t="s">
        <v>17</v>
      </c>
      <c r="B56" s="6" t="s">
        <v>59</v>
      </c>
      <c r="C56" s="11" t="n">
        <v>45052</v>
      </c>
      <c r="D56" s="11" t="n">
        <v>45142</v>
      </c>
      <c r="E56" s="7" t="n">
        <v>6.70307692307692</v>
      </c>
      <c r="F56" s="12" t="n">
        <v>4.16406593406593</v>
      </c>
      <c r="G56" s="12" t="n">
        <v>0.712983890411852</v>
      </c>
      <c r="H56" s="9" t="n">
        <v>0.0336144464434147</v>
      </c>
      <c r="I56" s="13" t="n">
        <v>65.4296703296703</v>
      </c>
      <c r="J56" s="12" t="n">
        <v>1.51953846153846</v>
      </c>
      <c r="K56" s="14" t="s">
        <v>41</v>
      </c>
      <c r="L56" s="9" t="n">
        <v>-0.016</v>
      </c>
      <c r="M56" s="9" t="n">
        <v>-0.0348903468974952</v>
      </c>
      <c r="O56" s="14"/>
      <c r="P56" s="6" t="s">
        <v>42</v>
      </c>
    </row>
    <row r="57" customFormat="false" ht="23.25" hidden="false" customHeight="true" outlineLevel="0" collapsed="false">
      <c r="A57" s="6" t="s">
        <v>17</v>
      </c>
      <c r="B57" s="6" t="s">
        <v>60</v>
      </c>
      <c r="C57" s="11" t="n">
        <v>45143</v>
      </c>
      <c r="D57" s="11" t="n">
        <v>45233</v>
      </c>
      <c r="E57" s="7" t="n">
        <v>7.34615384615385</v>
      </c>
      <c r="F57" s="12" t="n">
        <v>3.92120879120879</v>
      </c>
      <c r="G57" s="12" t="n">
        <v>0.67092257627151</v>
      </c>
      <c r="H57" s="9" t="n">
        <v>0.0350827638570259</v>
      </c>
      <c r="I57" s="13" t="n">
        <v>66.6978021978022</v>
      </c>
      <c r="J57" s="12" t="n">
        <v>1.54697802197802</v>
      </c>
      <c r="K57" s="14" t="s">
        <v>41</v>
      </c>
      <c r="L57" s="9" t="n">
        <v>-0.074</v>
      </c>
      <c r="M57" s="9" t="n">
        <v>-0.0441132126696155</v>
      </c>
      <c r="N57" s="9" t="n">
        <v>0.044</v>
      </c>
      <c r="O57" s="14"/>
      <c r="P57" s="6" t="s">
        <v>42</v>
      </c>
    </row>
    <row r="58" customFormat="false" ht="23.25" hidden="false" customHeight="true" outlineLevel="0" collapsed="false">
      <c r="A58" s="6" t="s">
        <v>17</v>
      </c>
      <c r="B58" s="6" t="s">
        <v>61</v>
      </c>
      <c r="C58" s="11" t="n">
        <v>45234</v>
      </c>
      <c r="D58" s="11" t="n">
        <v>45324</v>
      </c>
      <c r="E58" s="7" t="n">
        <v>6.91615384615385</v>
      </c>
      <c r="F58" s="12" t="n">
        <v>3.88</v>
      </c>
      <c r="G58" s="12" t="n">
        <v>0.643276120706392</v>
      </c>
      <c r="H58" s="9" t="n">
        <v>0.0318275514812461</v>
      </c>
      <c r="I58" s="13" t="n">
        <v>70.5340659340659</v>
      </c>
      <c r="J58" s="12" t="n">
        <v>1.52208791208791</v>
      </c>
      <c r="K58" s="14" t="s">
        <v>41</v>
      </c>
      <c r="L58" s="9" t="n">
        <v>-0.062</v>
      </c>
      <c r="M58" s="9" t="n">
        <v>-0.0463945235804858</v>
      </c>
      <c r="N58" s="9" t="n">
        <v>-0.01</v>
      </c>
      <c r="O58" s="14"/>
      <c r="P58" s="6" t="s">
        <v>42</v>
      </c>
    </row>
    <row r="59" customFormat="false" ht="23.25" hidden="false" customHeight="true" outlineLevel="0" collapsed="false">
      <c r="A59" s="6" t="s">
        <v>17</v>
      </c>
      <c r="B59" s="6" t="s">
        <v>62</v>
      </c>
      <c r="C59" s="11" t="n">
        <v>45325</v>
      </c>
      <c r="D59" s="11" t="n">
        <v>45415</v>
      </c>
      <c r="E59" s="7" t="n">
        <v>6.90153846153846</v>
      </c>
      <c r="F59" s="12" t="n">
        <v>4.22725274725275</v>
      </c>
      <c r="G59" s="12" t="n">
        <v>0.680571884316908</v>
      </c>
      <c r="H59" s="9" t="n">
        <v>0.03310249106518</v>
      </c>
      <c r="I59" s="13" t="n">
        <v>77.5934065934066</v>
      </c>
      <c r="J59" s="12" t="n">
        <v>1.4952967032967</v>
      </c>
      <c r="K59" s="14" t="s">
        <v>41</v>
      </c>
      <c r="L59" s="9" t="n">
        <v>-0.041</v>
      </c>
      <c r="M59" s="9" t="n">
        <v>-0.0296383723934466</v>
      </c>
      <c r="N59" s="9" t="n">
        <v>-0.006</v>
      </c>
      <c r="O59" s="14"/>
      <c r="P59" s="6" t="s">
        <v>42</v>
      </c>
    </row>
    <row r="60" customFormat="false" ht="23.25" hidden="false" customHeight="true" outlineLevel="0" collapsed="false">
      <c r="A60" s="6" t="s">
        <v>17</v>
      </c>
      <c r="B60" s="6" t="s">
        <v>63</v>
      </c>
      <c r="C60" s="11" t="n">
        <v>45416</v>
      </c>
      <c r="D60" s="11" t="n">
        <v>45506</v>
      </c>
      <c r="E60" s="7" t="n">
        <v>6.91307692307692</v>
      </c>
      <c r="F60" s="12" t="n">
        <v>3.97747252747253</v>
      </c>
      <c r="G60" s="12" t="n">
        <v>0.695702954040849</v>
      </c>
      <c r="H60" s="9" t="n">
        <v>0.0300527313122667</v>
      </c>
      <c r="I60" s="13" t="n">
        <v>67.8571428571429</v>
      </c>
      <c r="J60" s="12" t="n">
        <v>1.43936263736264</v>
      </c>
      <c r="K60" s="14" t="s">
        <v>41</v>
      </c>
      <c r="L60" s="9" t="n">
        <v>-0.051</v>
      </c>
      <c r="M60" s="9" t="n">
        <v>-0.0136925204794804</v>
      </c>
      <c r="N60" s="9" t="n">
        <v>-0.023</v>
      </c>
      <c r="O60" s="14"/>
      <c r="P60" s="6" t="s">
        <v>42</v>
      </c>
    </row>
    <row r="61" customFormat="false" ht="23.25" hidden="false" customHeight="true" outlineLevel="0" collapsed="false">
      <c r="A61" s="6" t="s">
        <v>17</v>
      </c>
      <c r="B61" s="6" t="s">
        <v>64</v>
      </c>
      <c r="C61" s="11" t="n">
        <v>45507</v>
      </c>
      <c r="D61" s="11" t="n">
        <v>45597</v>
      </c>
      <c r="E61" s="7" t="n">
        <v>6.35615384615385</v>
      </c>
      <c r="F61" s="12" t="n">
        <v>3.89065934065934</v>
      </c>
      <c r="G61" s="12" t="n">
        <v>0.677541206077834</v>
      </c>
      <c r="H61" s="9" t="n">
        <v>0.0252611237536164</v>
      </c>
      <c r="I61" s="13" t="n">
        <v>69.5538461538462</v>
      </c>
      <c r="J61" s="12" t="n">
        <v>1.4493956043956</v>
      </c>
      <c r="K61" s="14" t="s">
        <v>41</v>
      </c>
      <c r="L61" s="9" t="n">
        <v>-0.011</v>
      </c>
      <c r="M61" s="9" t="n">
        <v>0.0206138738355262</v>
      </c>
      <c r="N61" s="9" t="n">
        <v>-0.025</v>
      </c>
      <c r="O61" s="14"/>
      <c r="P61" s="6" t="s">
        <v>42</v>
      </c>
    </row>
    <row r="62" customFormat="false" ht="23.25" hidden="false" customHeight="true" outlineLevel="0" collapsed="false">
      <c r="A62" s="6" t="s">
        <v>17</v>
      </c>
      <c r="B62" s="6" t="s">
        <v>65</v>
      </c>
      <c r="C62" s="11" t="n">
        <v>45598</v>
      </c>
      <c r="D62" s="11" t="n">
        <v>45688</v>
      </c>
      <c r="E62" s="7" t="n">
        <v>6.83615384615385</v>
      </c>
      <c r="F62" s="12" t="n">
        <v>4.15681318681319</v>
      </c>
      <c r="G62" s="12" t="n">
        <v>0.678821881989723</v>
      </c>
      <c r="H62" s="9" t="n">
        <v>0.0285825616035835</v>
      </c>
      <c r="I62" s="13" t="n">
        <v>72.5153846153846</v>
      </c>
      <c r="J62" s="12" t="n">
        <v>1.47997802197802</v>
      </c>
      <c r="K62" s="14" t="s">
        <v>41</v>
      </c>
      <c r="L62" s="9" t="n">
        <v>0.002</v>
      </c>
      <c r="M62" s="9" t="n">
        <v>0.013380505658799</v>
      </c>
      <c r="N62" s="9" t="n">
        <v>-0.019</v>
      </c>
      <c r="O62" s="14"/>
      <c r="P62" s="6" t="s">
        <v>42</v>
      </c>
    </row>
    <row r="63" customFormat="false" ht="23.25" hidden="false" customHeight="true" outlineLevel="0" collapsed="false">
      <c r="A63" s="6" t="s">
        <v>17</v>
      </c>
      <c r="B63" s="6" t="s">
        <v>66</v>
      </c>
      <c r="C63" s="11" t="n">
        <v>45689</v>
      </c>
      <c r="D63" s="11" t="n">
        <v>45779</v>
      </c>
      <c r="E63" s="7" t="n">
        <v>6.74076923076923</v>
      </c>
      <c r="F63" s="12" t="n">
        <v>4.08747252747253</v>
      </c>
      <c r="G63" s="12" t="n">
        <v>0.665567600855326</v>
      </c>
      <c r="H63" s="9" t="n">
        <v>0.0248190928597329</v>
      </c>
      <c r="I63" s="13" t="n">
        <v>57.6813186813187</v>
      </c>
      <c r="J63" s="12" t="n">
        <v>1.46068131868132</v>
      </c>
      <c r="K63" s="14" t="s">
        <v>41</v>
      </c>
      <c r="L63" s="9" t="n">
        <v>-0.017</v>
      </c>
      <c r="M63" s="9" t="n">
        <v>0.00396492726227726</v>
      </c>
      <c r="N63" s="9" t="n">
        <v>-0.001</v>
      </c>
      <c r="O63" s="14"/>
      <c r="P63" s="6" t="s">
        <v>42</v>
      </c>
    </row>
    <row r="64" customFormat="false" ht="23.25" hidden="false" customHeight="true" outlineLevel="0" collapsed="false">
      <c r="A64" s="6" t="s">
        <v>17</v>
      </c>
      <c r="B64" s="6" t="s">
        <v>67</v>
      </c>
      <c r="C64" s="11" t="n">
        <v>45780</v>
      </c>
      <c r="D64" s="11" t="n">
        <v>45870</v>
      </c>
      <c r="E64" s="7" t="n">
        <v>6.78384615384615</v>
      </c>
      <c r="F64" s="12" t="n">
        <v>3.98989010989011</v>
      </c>
      <c r="G64" s="12" t="n">
        <v>0.645955537554221</v>
      </c>
      <c r="H64" s="9" t="n">
        <v>0.025813900194247</v>
      </c>
      <c r="I64" s="13" t="n">
        <v>58.3043956043956</v>
      </c>
      <c r="J64" s="12" t="n">
        <v>1.40418681318681</v>
      </c>
      <c r="K64" s="14" t="s">
        <v>41</v>
      </c>
      <c r="L64" s="9" t="n">
        <v>0.011</v>
      </c>
      <c r="M64" s="9" t="n">
        <v>-0.0092999128753154</v>
      </c>
      <c r="N64" s="9" t="n">
        <v>0.012</v>
      </c>
      <c r="O64" s="14"/>
      <c r="P64" s="6" t="s">
        <v>42</v>
      </c>
    </row>
    <row r="65" customFormat="false" ht="23.25" hidden="false" customHeight="true" outlineLevel="0" collapsed="false">
      <c r="A65" s="6" t="s">
        <v>17</v>
      </c>
      <c r="B65" s="6" t="s">
        <v>68</v>
      </c>
      <c r="C65" s="11" t="n">
        <v>45871</v>
      </c>
      <c r="D65" s="11" t="n">
        <v>45961</v>
      </c>
      <c r="E65" s="7" t="n">
        <v>6.38692307692308</v>
      </c>
      <c r="F65" s="12" t="n">
        <v>4.05384615384615</v>
      </c>
      <c r="G65" s="12" t="n">
        <v>0.687649787697968</v>
      </c>
      <c r="H65" s="9" t="n">
        <v>0.0290137146077054</v>
      </c>
      <c r="I65" s="13" t="n">
        <v>55.610989010989</v>
      </c>
      <c r="J65" s="12" t="n">
        <v>1.40316483516484</v>
      </c>
      <c r="K65" s="14" t="s">
        <v>41</v>
      </c>
      <c r="L65" s="9" t="n">
        <v>0.004</v>
      </c>
      <c r="M65" s="9" t="n">
        <v>-0.0345017378367911</v>
      </c>
      <c r="N65" s="9" t="n">
        <v>0.016</v>
      </c>
      <c r="O65" s="14"/>
      <c r="P65" s="6" t="s">
        <v>42</v>
      </c>
    </row>
    <row r="66" customFormat="false" ht="23.25" hidden="false" customHeight="true" outlineLevel="0" collapsed="false">
      <c r="A66" s="6" t="s">
        <v>17</v>
      </c>
      <c r="B66" s="6" t="s">
        <v>69</v>
      </c>
      <c r="C66" s="11" t="n">
        <v>45962</v>
      </c>
      <c r="D66" s="11" t="n">
        <v>46052</v>
      </c>
      <c r="E66" s="7" t="n">
        <v>6.17769230769231</v>
      </c>
      <c r="F66" s="12" t="n">
        <v>4.13241758241758</v>
      </c>
      <c r="G66" s="12" t="n">
        <v>0.685994509094473</v>
      </c>
      <c r="H66" s="9" t="n">
        <v>0.0259214346426797</v>
      </c>
      <c r="I66" s="13" t="n">
        <v>53.4274725274725</v>
      </c>
      <c r="J66" s="12" t="n">
        <v>1.43024175824176</v>
      </c>
      <c r="K66" s="14" t="s">
        <v>41</v>
      </c>
      <c r="L66" s="9" t="n">
        <v>0.013</v>
      </c>
      <c r="M66" s="9" t="n">
        <v>0.0031694515565921</v>
      </c>
      <c r="N66" s="9" t="n">
        <v>0.018</v>
      </c>
      <c r="O66" s="14"/>
      <c r="P66" s="6" t="s">
        <v>42</v>
      </c>
    </row>
    <row r="67" customFormat="false" ht="23.25" hidden="false" customHeight="true" outlineLevel="0" collapsed="false">
      <c r="A67" s="6" t="s">
        <v>17</v>
      </c>
      <c r="B67" s="6" t="s">
        <v>70</v>
      </c>
      <c r="C67" s="11" t="n">
        <v>46053</v>
      </c>
      <c r="D67" s="11" t="n">
        <v>46143</v>
      </c>
      <c r="E67" s="7" t="n">
        <v>6.19692307692308</v>
      </c>
      <c r="F67" s="12" t="n">
        <v>4.02835164835165</v>
      </c>
      <c r="G67" s="12" t="n">
        <v>0.644420516844587</v>
      </c>
      <c r="H67" s="9" t="n">
        <v>0.0316921831457486</v>
      </c>
      <c r="I67" s="13" t="n">
        <v>53.1021978021978</v>
      </c>
      <c r="J67" s="12" t="n">
        <v>1.43808791208791</v>
      </c>
      <c r="K67" s="14" t="s">
        <v>41</v>
      </c>
      <c r="L67" s="9" t="n">
        <v>0.006</v>
      </c>
      <c r="M67" s="9" t="n">
        <v>0.0377522735009483</v>
      </c>
      <c r="N67" s="9" t="n">
        <v>0.019</v>
      </c>
      <c r="O67" s="14"/>
      <c r="P67" s="6" t="s">
        <v>42</v>
      </c>
    </row>
    <row r="68" customFormat="false" ht="45.75" hidden="false" customHeight="true" outlineLevel="0" collapsed="false">
      <c r="A68" s="6" t="s">
        <v>17</v>
      </c>
      <c r="B68" s="6" t="s">
        <v>71</v>
      </c>
      <c r="C68" s="11" t="n">
        <v>46144</v>
      </c>
      <c r="D68" s="11" t="n">
        <v>46234</v>
      </c>
      <c r="E68" s="7" t="n">
        <v>6.49538461538462</v>
      </c>
      <c r="F68" s="12" t="n">
        <v>4.10615384615385</v>
      </c>
      <c r="G68" s="15"/>
      <c r="H68" s="9" t="n">
        <v>0.0370146969884824</v>
      </c>
      <c r="I68" s="17"/>
      <c r="J68" s="12" t="n">
        <v>1.40937362637363</v>
      </c>
      <c r="K68" s="18" t="s">
        <v>72</v>
      </c>
      <c r="L68" s="9" t="n">
        <v>0.002</v>
      </c>
      <c r="M68" s="19"/>
      <c r="N68" s="9" t="n">
        <v>0.02</v>
      </c>
      <c r="O68" s="18" t="s">
        <v>73</v>
      </c>
      <c r="P68" s="6" t="s">
        <v>42</v>
      </c>
    </row>
    <row r="69" customFormat="false" ht="23.25" hidden="false" customHeight="true" outlineLevel="0" collapsed="false">
      <c r="A69" s="19" t="s">
        <v>17</v>
      </c>
      <c r="B69" s="19" t="s">
        <v>9</v>
      </c>
      <c r="C69" s="20" t="n">
        <v>46235</v>
      </c>
      <c r="D69" s="20" t="n">
        <v>46325</v>
      </c>
      <c r="K69" s="19" t="s">
        <v>74</v>
      </c>
      <c r="L69" s="21" t="n">
        <f aca="false">'Point Estimates'!B92</f>
        <v>0.00487894128946227</v>
      </c>
      <c r="N69" s="16" t="n">
        <v>0.021</v>
      </c>
      <c r="O69" s="18" t="s">
        <v>75</v>
      </c>
      <c r="P69" s="19" t="s">
        <v>76</v>
      </c>
    </row>
    <row r="70" customFormat="false" ht="23.25" hidden="false" customHeight="true" outlineLevel="0" collapsed="false">
      <c r="A70" s="19" t="s">
        <v>17</v>
      </c>
      <c r="B70" s="19" t="s">
        <v>11</v>
      </c>
      <c r="C70" s="20" t="n">
        <v>46326</v>
      </c>
      <c r="D70" s="20" t="n">
        <v>46416</v>
      </c>
      <c r="K70" s="19" t="s">
        <v>74</v>
      </c>
      <c r="L70" s="21" t="n">
        <f aca="false">'Point Estimates'!B107</f>
        <v>0.00539912140219726</v>
      </c>
      <c r="N70" s="16" t="n">
        <v>0.021</v>
      </c>
      <c r="O70" s="18" t="s">
        <v>75</v>
      </c>
      <c r="P70" s="19" t="s">
        <v>76</v>
      </c>
    </row>
    <row r="71" customFormat="false" ht="23.25" hidden="false" customHeight="true" outlineLevel="0" collapsed="false">
      <c r="A71" s="19" t="s">
        <v>17</v>
      </c>
      <c r="B71" s="19" t="s">
        <v>13</v>
      </c>
      <c r="C71" s="20" t="n">
        <v>46417</v>
      </c>
      <c r="D71" s="20" t="n">
        <v>46507</v>
      </c>
      <c r="K71" s="19" t="s">
        <v>74</v>
      </c>
      <c r="L71" s="21" t="n">
        <f aca="false">'Point Estimates'!B125</f>
        <v>-0.00217969663061574</v>
      </c>
      <c r="N71" s="16" t="n">
        <v>0.007</v>
      </c>
      <c r="O71" s="18" t="s">
        <v>75</v>
      </c>
      <c r="P71" s="19" t="s">
        <v>76</v>
      </c>
    </row>
    <row r="72" customFormat="false" ht="23.25" hidden="false" customHeight="true" outlineLevel="0" collapsed="false">
      <c r="A72" s="19" t="s">
        <v>17</v>
      </c>
      <c r="B72" s="19" t="s">
        <v>15</v>
      </c>
      <c r="C72" s="20" t="n">
        <v>46508</v>
      </c>
      <c r="D72" s="20" t="n">
        <v>46598</v>
      </c>
      <c r="K72" s="19" t="s">
        <v>74</v>
      </c>
      <c r="L72" s="21" t="n">
        <f aca="false">'Point Estimates'!B145</f>
        <v>-0.00846156909062184</v>
      </c>
      <c r="N72" s="16" t="n">
        <v>0.005</v>
      </c>
      <c r="O72" s="18" t="s">
        <v>75</v>
      </c>
      <c r="P72" s="19" t="s">
        <v>76</v>
      </c>
    </row>
    <row r="74" customFormat="false" ht="39.75" hidden="false" customHeight="true" outlineLevel="0" collapsed="false">
      <c r="A74" s="22" t="s">
        <v>77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</sheetData>
  <mergeCells count="3">
    <mergeCell ref="A1:P1"/>
    <mergeCell ref="A2:P2"/>
    <mergeCell ref="A74:P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6"/>
  </cols>
  <sheetData>
    <row r="1" customFormat="false" ht="17.25" hidden="false" customHeight="true" outlineLevel="0" collapsed="false">
      <c r="A1" s="23" t="s">
        <v>78</v>
      </c>
    </row>
    <row r="2" customFormat="false" ht="135" hidden="false" customHeight="true" outlineLevel="0" collapsed="false">
      <c r="A2" s="3" t="s">
        <v>79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4" t="s">
        <v>80</v>
      </c>
      <c r="B4" s="4" t="s">
        <v>81</v>
      </c>
      <c r="C4" s="4" t="s">
        <v>39</v>
      </c>
      <c r="D4" s="4" t="s">
        <v>82</v>
      </c>
      <c r="E4" s="4" t="s">
        <v>83</v>
      </c>
      <c r="F4" s="4" t="s">
        <v>84</v>
      </c>
      <c r="G4" s="4" t="s">
        <v>85</v>
      </c>
    </row>
    <row r="5" customFormat="false" ht="15" hidden="false" customHeight="true" outlineLevel="0" collapsed="false">
      <c r="A5" s="6" t="s">
        <v>86</v>
      </c>
      <c r="B5" s="6" t="s">
        <v>60</v>
      </c>
      <c r="C5" s="6" t="s">
        <v>87</v>
      </c>
      <c r="D5" s="24" t="n">
        <v>511</v>
      </c>
      <c r="E5" s="9" t="n">
        <v>0.044</v>
      </c>
      <c r="F5" s="9" t="n">
        <v>-0.035</v>
      </c>
      <c r="G5" s="9" t="n">
        <v>-0.074</v>
      </c>
    </row>
    <row r="6" customFormat="false" ht="15" hidden="false" customHeight="true" outlineLevel="0" collapsed="false">
      <c r="A6" s="6" t="s">
        <v>88</v>
      </c>
      <c r="B6" s="6" t="s">
        <v>61</v>
      </c>
      <c r="C6" s="6" t="s">
        <v>87</v>
      </c>
      <c r="D6" s="24" t="n">
        <v>510</v>
      </c>
      <c r="E6" s="9" t="n">
        <v>-0.01</v>
      </c>
      <c r="F6" s="9" t="n">
        <v>-0.04</v>
      </c>
      <c r="G6" s="9" t="n">
        <v>-0.062</v>
      </c>
    </row>
    <row r="7" customFormat="false" ht="15" hidden="false" customHeight="true" outlineLevel="0" collapsed="false">
      <c r="A7" s="6" t="s">
        <v>89</v>
      </c>
      <c r="B7" s="6" t="s">
        <v>62</v>
      </c>
      <c r="C7" s="6" t="s">
        <v>87</v>
      </c>
      <c r="D7" s="24" t="n">
        <v>511</v>
      </c>
      <c r="E7" s="9" t="n">
        <v>-0.006</v>
      </c>
      <c r="F7" s="9" t="n">
        <v>-0.032</v>
      </c>
      <c r="G7" s="9" t="n">
        <v>-0.041</v>
      </c>
    </row>
    <row r="8" customFormat="false" ht="15" hidden="false" customHeight="true" outlineLevel="0" collapsed="false">
      <c r="A8" s="6" t="s">
        <v>90</v>
      </c>
      <c r="B8" s="6" t="s">
        <v>63</v>
      </c>
      <c r="C8" s="6" t="s">
        <v>87</v>
      </c>
      <c r="D8" s="24" t="n">
        <v>501</v>
      </c>
      <c r="E8" s="9" t="n">
        <v>-0.023</v>
      </c>
      <c r="F8" s="9" t="n">
        <v>-0.036</v>
      </c>
      <c r="G8" s="9" t="n">
        <v>-0.051</v>
      </c>
    </row>
    <row r="9" customFormat="false" ht="15" hidden="false" customHeight="true" outlineLevel="0" collapsed="false">
      <c r="A9" s="6" t="s">
        <v>91</v>
      </c>
      <c r="B9" s="6" t="s">
        <v>64</v>
      </c>
      <c r="C9" s="6" t="s">
        <v>87</v>
      </c>
      <c r="D9" s="24" t="n">
        <v>498</v>
      </c>
      <c r="E9" s="9" t="n">
        <v>-0.025</v>
      </c>
      <c r="F9" s="9" t="n">
        <v>-0.012</v>
      </c>
      <c r="G9" s="9" t="n">
        <v>-0.011</v>
      </c>
    </row>
    <row r="10" customFormat="false" ht="15" hidden="false" customHeight="true" outlineLevel="0" collapsed="false">
      <c r="A10" s="6" t="s">
        <v>92</v>
      </c>
      <c r="B10" s="6" t="s">
        <v>65</v>
      </c>
      <c r="C10" s="6" t="s">
        <v>87</v>
      </c>
      <c r="D10" s="24" t="n">
        <v>500</v>
      </c>
      <c r="E10" s="9" t="n">
        <v>-0.019</v>
      </c>
      <c r="F10" s="9" t="n">
        <v>0.013</v>
      </c>
      <c r="G10" s="9" t="n">
        <v>0.002</v>
      </c>
    </row>
    <row r="11" customFormat="false" ht="15" hidden="false" customHeight="true" outlineLevel="0" collapsed="false">
      <c r="A11" s="6" t="s">
        <v>93</v>
      </c>
      <c r="B11" s="6" t="s">
        <v>66</v>
      </c>
      <c r="C11" s="6" t="s">
        <v>87</v>
      </c>
      <c r="D11" s="24" t="n">
        <v>511</v>
      </c>
      <c r="E11" s="9" t="n">
        <v>-0.001</v>
      </c>
      <c r="F11" s="9" t="n">
        <v>0.002</v>
      </c>
      <c r="G11" s="9" t="n">
        <v>-0.017</v>
      </c>
    </row>
    <row r="12" customFormat="false" ht="15" hidden="false" customHeight="true" outlineLevel="0" collapsed="false">
      <c r="A12" s="6" t="s">
        <v>94</v>
      </c>
      <c r="B12" s="6" t="s">
        <v>67</v>
      </c>
      <c r="C12" s="6" t="s">
        <v>87</v>
      </c>
      <c r="D12" s="24" t="n">
        <v>507</v>
      </c>
      <c r="E12" s="9" t="n">
        <v>0.012</v>
      </c>
      <c r="F12" s="9" t="n">
        <v>0.014</v>
      </c>
      <c r="G12" s="9" t="n">
        <v>0.011</v>
      </c>
    </row>
    <row r="13" customFormat="false" ht="15" hidden="false" customHeight="true" outlineLevel="0" collapsed="false">
      <c r="A13" s="6" t="s">
        <v>95</v>
      </c>
      <c r="B13" s="6" t="s">
        <v>68</v>
      </c>
      <c r="C13" s="6" t="s">
        <v>87</v>
      </c>
      <c r="D13" s="24" t="n">
        <v>506</v>
      </c>
      <c r="E13" s="9" t="n">
        <v>0.016</v>
      </c>
      <c r="F13" s="9" t="n">
        <v>0.001</v>
      </c>
      <c r="G13" s="9" t="n">
        <v>0.004</v>
      </c>
    </row>
    <row r="14" customFormat="false" ht="15" hidden="false" customHeight="true" outlineLevel="0" collapsed="false">
      <c r="A14" s="6" t="s">
        <v>96</v>
      </c>
      <c r="B14" s="6" t="s">
        <v>69</v>
      </c>
      <c r="C14" s="6" t="s">
        <v>87</v>
      </c>
      <c r="D14" s="24" t="n">
        <v>510</v>
      </c>
      <c r="E14" s="9" t="n">
        <v>0.018</v>
      </c>
      <c r="F14" s="9" t="n">
        <v>0.003</v>
      </c>
      <c r="G14" s="9" t="n">
        <v>0.013</v>
      </c>
    </row>
    <row r="15" customFormat="false" ht="15" hidden="false" customHeight="true" outlineLevel="0" collapsed="false">
      <c r="A15" s="6" t="s">
        <v>97</v>
      </c>
      <c r="B15" s="6" t="s">
        <v>70</v>
      </c>
      <c r="C15" s="6" t="s">
        <v>87</v>
      </c>
      <c r="D15" s="24" t="n">
        <v>520</v>
      </c>
      <c r="E15" s="9" t="n">
        <v>0.019</v>
      </c>
      <c r="F15" s="9" t="n">
        <v>0.004</v>
      </c>
      <c r="G15" s="9" t="n">
        <v>0.006</v>
      </c>
    </row>
    <row r="16" customFormat="false" ht="15" hidden="false" customHeight="true" outlineLevel="0" collapsed="false">
      <c r="A16" s="6" t="s">
        <v>98</v>
      </c>
      <c r="B16" s="6" t="s">
        <v>71</v>
      </c>
      <c r="C16" s="6" t="s">
        <v>87</v>
      </c>
      <c r="D16" s="24" t="n">
        <v>517</v>
      </c>
      <c r="E16" s="9" t="n">
        <v>0.02</v>
      </c>
      <c r="F16" s="9" t="n">
        <v>0.013</v>
      </c>
      <c r="G16" s="9" t="n">
        <v>0.002</v>
      </c>
    </row>
    <row r="17" customFormat="false" ht="15" hidden="false" customHeight="true" outlineLevel="0" collapsed="false">
      <c r="A17" s="19" t="s">
        <v>99</v>
      </c>
      <c r="B17" s="19" t="s">
        <v>9</v>
      </c>
      <c r="C17" s="19" t="s">
        <v>76</v>
      </c>
      <c r="D17" s="25" t="n">
        <v>517</v>
      </c>
      <c r="E17" s="16" t="n">
        <v>0.021</v>
      </c>
    </row>
    <row r="18" customFormat="false" ht="15" hidden="false" customHeight="true" outlineLevel="0" collapsed="false">
      <c r="A18" s="19" t="s">
        <v>100</v>
      </c>
      <c r="B18" s="19" t="s">
        <v>11</v>
      </c>
      <c r="C18" s="19" t="s">
        <v>76</v>
      </c>
      <c r="D18" s="25" t="n">
        <v>520</v>
      </c>
      <c r="E18" s="16" t="n">
        <v>0.021</v>
      </c>
    </row>
    <row r="19" customFormat="false" ht="15" hidden="false" customHeight="true" outlineLevel="0" collapsed="false">
      <c r="A19" s="19" t="s">
        <v>101</v>
      </c>
      <c r="B19" s="19" t="s">
        <v>13</v>
      </c>
      <c r="C19" s="19" t="s">
        <v>76</v>
      </c>
      <c r="D19" s="25" t="n">
        <v>524</v>
      </c>
      <c r="E19" s="16" t="n">
        <v>0.007</v>
      </c>
    </row>
    <row r="20" customFormat="false" ht="15" hidden="false" customHeight="true" outlineLevel="0" collapsed="false">
      <c r="A20" s="19" t="s">
        <v>102</v>
      </c>
      <c r="B20" s="19" t="s">
        <v>15</v>
      </c>
      <c r="C20" s="19" t="s">
        <v>76</v>
      </c>
      <c r="D20" s="25" t="n">
        <v>519</v>
      </c>
      <c r="E20" s="16" t="n">
        <v>0.005</v>
      </c>
    </row>
    <row r="22" customFormat="false" ht="30" hidden="false" customHeight="true" outlineLevel="0" collapsed="false">
      <c r="A22" s="22" t="s">
        <v>103</v>
      </c>
      <c r="B22" s="22"/>
      <c r="C22" s="22"/>
      <c r="D22" s="22"/>
      <c r="E22" s="22"/>
      <c r="F22" s="22"/>
      <c r="G22" s="22"/>
    </row>
    <row r="24" customFormat="false" ht="15" hidden="false" customHeight="true" outlineLevel="0" collapsed="false">
      <c r="A24" s="10" t="s">
        <v>104</v>
      </c>
    </row>
    <row r="25" customFormat="false" ht="30" hidden="false" customHeight="true" outlineLevel="0" collapsed="false">
      <c r="A25" s="3" t="s">
        <v>105</v>
      </c>
      <c r="B25" s="3"/>
      <c r="C25" s="3"/>
      <c r="D25" s="3"/>
      <c r="E25" s="3"/>
      <c r="F25" s="3"/>
      <c r="G25" s="3"/>
    </row>
    <row r="27" customFormat="false" ht="26.25" hidden="false" customHeight="true" outlineLevel="0" collapsed="false">
      <c r="A27" s="4" t="s">
        <v>2</v>
      </c>
      <c r="B27" s="4" t="s">
        <v>106</v>
      </c>
      <c r="C27" s="4" t="s">
        <v>107</v>
      </c>
      <c r="D27" s="4" t="s">
        <v>108</v>
      </c>
      <c r="E27" s="4" t="s">
        <v>109</v>
      </c>
      <c r="F27" s="4" t="s">
        <v>110</v>
      </c>
    </row>
    <row r="28" customFormat="false" ht="15" hidden="false" customHeight="true" outlineLevel="0" collapsed="false">
      <c r="A28" s="6" t="s">
        <v>8</v>
      </c>
      <c r="B28" s="12" t="n">
        <f aca="false">IFERROR(CORREL(E5:E16,F5:F16),"n/a")</f>
        <v>0.182701464302808</v>
      </c>
      <c r="C28" s="12" t="n">
        <f aca="false">IFERROR(CORREL(E5:E15,F6:F16),"n/a")</f>
        <v>-0.179086469480307</v>
      </c>
      <c r="D28" s="12" t="n">
        <f aca="false">IFERROR(CORREL(E5:E14,F7:F16),"n/a")</f>
        <v>-0.348528085622884</v>
      </c>
      <c r="E28" s="12" t="n">
        <f aca="false">IFERROR(CORREL(E5:E13,F8:F16),"n/a")</f>
        <v>-0.603092734394037</v>
      </c>
      <c r="F28" s="26" t="n">
        <f aca="false">COUNT(F5:F16)</f>
        <v>12</v>
      </c>
    </row>
    <row r="29" customFormat="false" ht="15" hidden="false" customHeight="true" outlineLevel="0" collapsed="false">
      <c r="A29" s="6" t="s">
        <v>17</v>
      </c>
      <c r="B29" s="12" t="n">
        <f aca="false">IFERROR(CORREL(E5:E16,G5:G16),"n/a")</f>
        <v>0.0613948342507385</v>
      </c>
      <c r="C29" s="12" t="n">
        <f aca="false">IFERROR(CORREL(E5:E15,G6:G16),"n/a")</f>
        <v>-0.135048043446194</v>
      </c>
      <c r="D29" s="12" t="n">
        <f aca="false">IFERROR(CORREL(E5:E14,G7:G16),"n/a")</f>
        <v>-0.167047251600764</v>
      </c>
      <c r="E29" s="12" t="n">
        <f aca="false">IFERROR(CORREL(E5:E13,G8:G16),"n/a")</f>
        <v>-0.58287727205052</v>
      </c>
      <c r="F29" s="26" t="n">
        <f aca="false">COUNT(G5:G16)</f>
        <v>12</v>
      </c>
    </row>
    <row r="31" customFormat="false" ht="15" hidden="false" customHeight="true" outlineLevel="0" collapsed="false">
      <c r="A31" s="10" t="s">
        <v>111</v>
      </c>
    </row>
    <row r="32" customFormat="false" ht="69.75" hidden="false" customHeight="true" outlineLevel="0" collapsed="false">
      <c r="A32" s="27" t="s">
        <v>112</v>
      </c>
      <c r="B32" s="27"/>
      <c r="C32" s="27"/>
      <c r="D32" s="27"/>
      <c r="E32" s="27"/>
      <c r="F32" s="27"/>
      <c r="G32" s="27"/>
    </row>
    <row r="33" customFormat="false" ht="84" hidden="false" customHeight="true" outlineLevel="0" collapsed="false">
      <c r="A33" s="27" t="s">
        <v>113</v>
      </c>
      <c r="B33" s="27"/>
      <c r="C33" s="27"/>
      <c r="D33" s="27"/>
      <c r="E33" s="27"/>
      <c r="F33" s="27"/>
      <c r="G33" s="27"/>
    </row>
    <row r="34" customFormat="false" ht="84" hidden="false" customHeight="true" outlineLevel="0" collapsed="false">
      <c r="A34" s="27" t="s">
        <v>114</v>
      </c>
      <c r="B34" s="27"/>
      <c r="C34" s="27"/>
      <c r="D34" s="27"/>
      <c r="E34" s="27"/>
      <c r="F34" s="27"/>
      <c r="G34" s="27"/>
    </row>
  </sheetData>
  <mergeCells count="6">
    <mergeCell ref="A2:G2"/>
    <mergeCell ref="A22:G22"/>
    <mergeCell ref="A25:G25"/>
    <mergeCell ref="A32:G32"/>
    <mergeCell ref="A33:G3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6" min="4" style="1" width="18"/>
  </cols>
  <sheetData>
    <row r="1" customFormat="false" ht="17.25" hidden="false" customHeight="true" outlineLevel="0" collapsed="false">
      <c r="A1" s="2" t="s">
        <v>115</v>
      </c>
      <c r="B1" s="2"/>
      <c r="C1" s="2"/>
      <c r="D1" s="2"/>
      <c r="E1" s="2"/>
      <c r="F1" s="2"/>
    </row>
    <row r="2" customFormat="false" ht="75" hidden="false" customHeight="true" outlineLevel="0" collapsed="false">
      <c r="A2" s="3" t="s">
        <v>116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0" t="s">
        <v>104</v>
      </c>
    </row>
    <row r="5" customFormat="false" ht="30" hidden="false" customHeight="true" outlineLevel="0" collapsed="false">
      <c r="A5" s="3" t="s">
        <v>117</v>
      </c>
      <c r="B5" s="3"/>
      <c r="C5" s="3"/>
      <c r="D5" s="3"/>
      <c r="E5" s="3"/>
      <c r="F5" s="3"/>
    </row>
    <row r="7" customFormat="false" ht="26.25" hidden="false" customHeight="true" outlineLevel="0" collapsed="false">
      <c r="A7" s="4" t="s">
        <v>2</v>
      </c>
      <c r="B7" s="4" t="s">
        <v>118</v>
      </c>
      <c r="C7" s="4" t="s">
        <v>110</v>
      </c>
      <c r="D7" s="4" t="s">
        <v>106</v>
      </c>
      <c r="E7" s="4" t="s">
        <v>119</v>
      </c>
      <c r="F7" s="4" t="s">
        <v>120</v>
      </c>
    </row>
    <row r="8" customFormat="false" ht="15" hidden="false" customHeight="true" outlineLevel="0" collapsed="false">
      <c r="A8" s="6" t="s">
        <v>8</v>
      </c>
      <c r="B8" s="6" t="s">
        <v>121</v>
      </c>
      <c r="C8" s="6" t="n">
        <f aca="false">COUNT('Quarterly Data'!M5:M34)</f>
        <v>25</v>
      </c>
      <c r="D8" s="12" t="n">
        <f aca="false">IFERROR(CORREL('Quarterly Data'!L5:L34,'Quarterly Data'!M5:M34),"n/a")</f>
        <v>0.926837141499103</v>
      </c>
      <c r="E8" s="12" t="n">
        <f aca="false">IFERROR(CORREL('Quarterly Data'!L6:L34,'Quarterly Data'!M5:M33),"n/a")</f>
        <v>0.610579795812482</v>
      </c>
      <c r="F8" s="12" t="n">
        <f aca="false">IFERROR(CORREL('Quarterly Data'!L5:L33,'Quarterly Data'!M6:M34),"n/a")</f>
        <v>0.786971053905195</v>
      </c>
    </row>
    <row r="9" customFormat="false" ht="15" hidden="false" customHeight="true" outlineLevel="0" collapsed="false">
      <c r="A9" s="6" t="s">
        <v>8</v>
      </c>
      <c r="B9" s="6" t="s">
        <v>122</v>
      </c>
      <c r="C9" s="6" t="n">
        <f aca="false">COUNT('Quarterly Data'!M17:M34)</f>
        <v>17</v>
      </c>
      <c r="D9" s="12" t="n">
        <f aca="false">IFERROR(CORREL('Quarterly Data'!L17:L34,'Quarterly Data'!M17:M34),"n/a")</f>
        <v>0.856260488763848</v>
      </c>
      <c r="E9" s="12" t="n">
        <f aca="false">IFERROR(CORREL('Quarterly Data'!L18:L34,'Quarterly Data'!M17:M33),"n/a")</f>
        <v>0.59242767152692</v>
      </c>
      <c r="F9" s="12" t="n">
        <f aca="false">IFERROR(CORREL('Quarterly Data'!L17:L33,'Quarterly Data'!M18:M34),"n/a")</f>
        <v>0.649278196037404</v>
      </c>
    </row>
    <row r="11" customFormat="false" ht="15" hidden="false" customHeight="true" outlineLevel="0" collapsed="false">
      <c r="A11" s="6" t="s">
        <v>17</v>
      </c>
      <c r="B11" s="6" t="s">
        <v>121</v>
      </c>
      <c r="C11" s="6" t="n">
        <f aca="false">COUNT('Quarterly Data'!M39:M68)</f>
        <v>25</v>
      </c>
      <c r="D11" s="12" t="n">
        <f aca="false">IFERROR(CORREL('Quarterly Data'!L39:L68,'Quarterly Data'!M39:M68),"n/a")</f>
        <v>0.824172608185631</v>
      </c>
      <c r="E11" s="12" t="n">
        <f aca="false">IFERROR(CORREL('Quarterly Data'!L40:L68,'Quarterly Data'!M39:M67),"n/a")</f>
        <v>0.477266971770067</v>
      </c>
      <c r="F11" s="12" t="n">
        <f aca="false">IFERROR(CORREL('Quarterly Data'!L39:L67,'Quarterly Data'!M40:M68),"n/a")</f>
        <v>0.790728244727872</v>
      </c>
    </row>
    <row r="12" customFormat="false" ht="15" hidden="false" customHeight="true" outlineLevel="0" collapsed="false">
      <c r="A12" s="6" t="s">
        <v>17</v>
      </c>
      <c r="B12" s="6" t="s">
        <v>122</v>
      </c>
      <c r="C12" s="6" t="n">
        <f aca="false">COUNT('Quarterly Data'!M51:M68)</f>
        <v>17</v>
      </c>
      <c r="D12" s="12" t="n">
        <f aca="false">IFERROR(CORREL('Quarterly Data'!L51:L68,'Quarterly Data'!M51:M68),"n/a")</f>
        <v>0.62884729824532</v>
      </c>
      <c r="E12" s="12" t="n">
        <f aca="false">IFERROR(CORREL('Quarterly Data'!L52:L68,'Quarterly Data'!M51:M67),"n/a")</f>
        <v>0.531136075992989</v>
      </c>
      <c r="F12" s="12" t="n">
        <f aca="false">IFERROR(CORREL('Quarterly Data'!L51:L67,'Quarterly Data'!M52:M68),"n/a")</f>
        <v>0.339406742543324</v>
      </c>
    </row>
    <row r="15" customFormat="false" ht="15" hidden="false" customHeight="true" outlineLevel="0" collapsed="false">
      <c r="A15" s="10" t="s">
        <v>111</v>
      </c>
    </row>
    <row r="16" customFormat="false" ht="45" hidden="false" customHeight="true" outlineLevel="0" collapsed="false">
      <c r="A16" s="3" t="s">
        <v>123</v>
      </c>
      <c r="B16" s="3"/>
      <c r="C16" s="3"/>
      <c r="D16" s="3"/>
      <c r="E16" s="3"/>
      <c r="F16" s="3"/>
    </row>
    <row r="17" customFormat="false" ht="45" hidden="false" customHeight="true" outlineLevel="0" collapsed="false">
      <c r="A17" s="3" t="s">
        <v>124</v>
      </c>
      <c r="B17" s="3"/>
      <c r="C17" s="3"/>
      <c r="D17" s="3"/>
      <c r="E17" s="3"/>
      <c r="F17" s="3"/>
    </row>
    <row r="18" customFormat="false" ht="45" hidden="false" customHeight="true" outlineLevel="0" collapsed="false">
      <c r="A18" s="3" t="s">
        <v>125</v>
      </c>
      <c r="B18" s="3"/>
      <c r="C18" s="3"/>
      <c r="D18" s="3"/>
      <c r="E18" s="3"/>
      <c r="F18" s="3"/>
    </row>
    <row r="19" customFormat="false" ht="45" hidden="false" customHeight="true" outlineLevel="0" collapsed="false">
      <c r="A19" s="3" t="s">
        <v>126</v>
      </c>
      <c r="B19" s="3"/>
      <c r="C19" s="3"/>
      <c r="D19" s="3"/>
      <c r="E19" s="3"/>
      <c r="F19" s="3"/>
    </row>
  </sheetData>
  <mergeCells count="7">
    <mergeCell ref="A1:F1"/>
    <mergeCell ref="A2:F2"/>
    <mergeCell ref="A5:F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127</v>
      </c>
      <c r="B1" s="2"/>
      <c r="C1" s="2"/>
      <c r="D1" s="2"/>
      <c r="E1" s="2"/>
      <c r="F1" s="2"/>
    </row>
    <row r="2" customFormat="false" ht="99.75" hidden="false" customHeight="true" outlineLevel="0" collapsed="false">
      <c r="A2" s="3" t="s">
        <v>128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0" t="s">
        <v>129</v>
      </c>
    </row>
    <row r="5" customFormat="false" ht="15" hidden="false" customHeight="true" outlineLevel="0" collapsed="false">
      <c r="A5" s="5" t="s">
        <v>130</v>
      </c>
      <c r="B5" s="28" t="n">
        <f aca="false">AVERAGE('Quarterly Data'!L33:L34)</f>
        <v>0.0085</v>
      </c>
    </row>
    <row r="7" customFormat="false" ht="15" hidden="false" customHeight="true" outlineLevel="0" collapsed="false">
      <c r="A7" s="5" t="s">
        <v>131</v>
      </c>
    </row>
    <row r="8" customFormat="false" ht="15" hidden="false" customHeight="true" outlineLevel="0" collapsed="false">
      <c r="A8" s="6" t="s">
        <v>132</v>
      </c>
      <c r="B8" s="6" t="s">
        <v>28</v>
      </c>
    </row>
    <row r="9" customFormat="false" ht="15" hidden="false" customHeight="true" outlineLevel="0" collapsed="false">
      <c r="A9" s="6" t="s">
        <v>133</v>
      </c>
      <c r="B9" s="6" t="n">
        <f aca="false">COUNT('Quarterly Data'!E17:E33)</f>
        <v>17</v>
      </c>
    </row>
    <row r="10" customFormat="false" ht="15" hidden="false" customHeight="true" outlineLevel="0" collapsed="false">
      <c r="A10" s="6" t="s">
        <v>134</v>
      </c>
      <c r="B10" s="29" t="n">
        <f aca="false">SLOPE('Quarterly Data'!L18:L34,'Quarterly Data'!E17:E33)</f>
        <v>-0.0314869938752716</v>
      </c>
    </row>
    <row r="11" customFormat="false" ht="15" hidden="false" customHeight="true" outlineLevel="0" collapsed="false">
      <c r="A11" s="6" t="s">
        <v>135</v>
      </c>
      <c r="B11" s="29" t="n">
        <f aca="false">INTERCEPT('Quarterly Data'!L18:L34,'Quarterly Data'!E17:E33)</f>
        <v>0.197224980471353</v>
      </c>
    </row>
    <row r="12" customFormat="false" ht="15" hidden="false" customHeight="true" outlineLevel="0" collapsed="false">
      <c r="A12" s="6" t="s">
        <v>136</v>
      </c>
      <c r="B12" s="12" t="n">
        <f aca="false">CORREL('Quarterly Data'!L18:L34,'Quarterly Data'!E17:E33)</f>
        <v>-0.771507297566668</v>
      </c>
    </row>
    <row r="13" customFormat="false" ht="15" hidden="false" customHeight="true" outlineLevel="0" collapsed="false">
      <c r="A13" s="6" t="s">
        <v>137</v>
      </c>
      <c r="B13" s="7" t="n">
        <f aca="false">'Quarterly Data'!E34</f>
        <v>6.49538461538462</v>
      </c>
    </row>
    <row r="14" customFormat="false" ht="15" hidden="false" customHeight="true" outlineLevel="0" collapsed="false">
      <c r="A14" s="6" t="s">
        <v>138</v>
      </c>
      <c r="B14" s="7" t="n">
        <f aca="false">AVERAGE('Quarterly Data'!E31:E34)</f>
        <v>6.31423076923077</v>
      </c>
    </row>
    <row r="15" customFormat="false" ht="15" hidden="false" customHeight="true" outlineLevel="0" collapsed="false">
      <c r="A15" s="5" t="s">
        <v>139</v>
      </c>
      <c r="B15" s="7" t="n">
        <f aca="false">(B13+B14)/2</f>
        <v>6.4048076923077</v>
      </c>
    </row>
    <row r="16" customFormat="false" ht="15" hidden="false" customHeight="true" outlineLevel="0" collapsed="false">
      <c r="A16" s="6" t="s">
        <v>140</v>
      </c>
      <c r="B16" s="7" t="n">
        <f aca="false">B15-B14</f>
        <v>0.0905769230769238</v>
      </c>
    </row>
    <row r="17" customFormat="false" ht="15" hidden="false" customHeight="true" outlineLevel="0" collapsed="false">
      <c r="A17" s="6" t="s">
        <v>141</v>
      </c>
      <c r="B17" s="28" t="n">
        <f aca="false">B10*B16</f>
        <v>-0.00285199502216404</v>
      </c>
    </row>
    <row r="18" customFormat="false" ht="15" hidden="false" customHeight="true" outlineLevel="0" collapsed="false">
      <c r="A18" s="6" t="s">
        <v>142</v>
      </c>
      <c r="B18" s="28" t="n">
        <f aca="false">B5+B17</f>
        <v>0.00564800497783596</v>
      </c>
    </row>
    <row r="19" customFormat="false" ht="15" hidden="false" customHeight="true" outlineLevel="0" collapsed="false">
      <c r="A19" s="6" t="s">
        <v>143</v>
      </c>
      <c r="B19" s="28" t="n">
        <f aca="false">'LIRA vs Comp Correlation'!E17</f>
        <v>0.021</v>
      </c>
    </row>
    <row r="20" customFormat="false" ht="15" hidden="false" customHeight="true" outlineLevel="0" collapsed="false">
      <c r="A20" s="5" t="s">
        <v>144</v>
      </c>
      <c r="B20" s="8" t="n">
        <f aca="false">(1-0.15)*B18+0.15*B19</f>
        <v>0.00795080423116057</v>
      </c>
    </row>
    <row r="22" customFormat="false" ht="15" hidden="false" customHeight="true" outlineLevel="0" collapsed="false">
      <c r="A22" s="5" t="s">
        <v>145</v>
      </c>
    </row>
    <row r="23" customFormat="false" ht="15" hidden="false" customHeight="true" outlineLevel="0" collapsed="false">
      <c r="A23" s="6" t="s">
        <v>132</v>
      </c>
      <c r="B23" s="6" t="s">
        <v>28</v>
      </c>
    </row>
    <row r="24" customFormat="false" ht="15" hidden="false" customHeight="true" outlineLevel="0" collapsed="false">
      <c r="A24" s="6" t="s">
        <v>133</v>
      </c>
      <c r="B24" s="6" t="n">
        <f aca="false">COUNT('Quarterly Data'!E17:E32)</f>
        <v>16</v>
      </c>
    </row>
    <row r="25" customFormat="false" ht="15" hidden="false" customHeight="true" outlineLevel="0" collapsed="false">
      <c r="A25" s="6" t="s">
        <v>134</v>
      </c>
      <c r="B25" s="29" t="n">
        <f aca="false">SLOPE('Quarterly Data'!L19:L34,'Quarterly Data'!E17:E32)</f>
        <v>-0.0168157788960722</v>
      </c>
    </row>
    <row r="26" customFormat="false" ht="15" hidden="false" customHeight="true" outlineLevel="0" collapsed="false">
      <c r="A26" s="6" t="s">
        <v>135</v>
      </c>
      <c r="B26" s="29" t="n">
        <f aca="false">INTERCEPT('Quarterly Data'!L19:L34,'Quarterly Data'!E17:E32)</f>
        <v>0.099839999090488</v>
      </c>
    </row>
    <row r="27" customFormat="false" ht="15" hidden="false" customHeight="true" outlineLevel="0" collapsed="false">
      <c r="A27" s="6" t="s">
        <v>136</v>
      </c>
      <c r="B27" s="12" t="n">
        <f aca="false">CORREL('Quarterly Data'!L19:L34,'Quarterly Data'!E17:E32)</f>
        <v>-0.483863335003769</v>
      </c>
    </row>
    <row r="28" customFormat="false" ht="15" hidden="false" customHeight="true" outlineLevel="0" collapsed="false">
      <c r="A28" s="6" t="s">
        <v>137</v>
      </c>
      <c r="B28" s="7" t="n">
        <f aca="false">'Quarterly Data'!E34</f>
        <v>6.49538461538462</v>
      </c>
    </row>
    <row r="29" customFormat="false" ht="15" hidden="false" customHeight="true" outlineLevel="0" collapsed="false">
      <c r="A29" s="6" t="s">
        <v>138</v>
      </c>
      <c r="B29" s="7" t="n">
        <f aca="false">AVERAGE('Quarterly Data'!E31:E34)</f>
        <v>6.31423076923077</v>
      </c>
    </row>
    <row r="30" customFormat="false" ht="15" hidden="false" customHeight="true" outlineLevel="0" collapsed="false">
      <c r="A30" s="5" t="s">
        <v>139</v>
      </c>
      <c r="B30" s="7" t="n">
        <f aca="false">(B28+B29)/2</f>
        <v>6.4048076923077</v>
      </c>
    </row>
    <row r="31" customFormat="false" ht="15" hidden="false" customHeight="true" outlineLevel="0" collapsed="false">
      <c r="A31" s="6" t="s">
        <v>140</v>
      </c>
      <c r="B31" s="7" t="n">
        <f aca="false">B30-B29</f>
        <v>0.0905769230769238</v>
      </c>
    </row>
    <row r="32" customFormat="false" ht="15" hidden="false" customHeight="true" outlineLevel="0" collapsed="false">
      <c r="A32" s="6" t="s">
        <v>141</v>
      </c>
      <c r="B32" s="28" t="n">
        <f aca="false">B25*B31</f>
        <v>-0.00152312151154809</v>
      </c>
    </row>
    <row r="33" customFormat="false" ht="15" hidden="false" customHeight="true" outlineLevel="0" collapsed="false">
      <c r="A33" s="6" t="s">
        <v>142</v>
      </c>
      <c r="B33" s="28" t="n">
        <f aca="false">B5+B32</f>
        <v>0.00697687848845191</v>
      </c>
    </row>
    <row r="34" customFormat="false" ht="15" hidden="false" customHeight="true" outlineLevel="0" collapsed="false">
      <c r="A34" s="6" t="s">
        <v>143</v>
      </c>
      <c r="B34" s="28" t="n">
        <f aca="false">'LIRA vs Comp Correlation'!E18</f>
        <v>0.021</v>
      </c>
    </row>
    <row r="35" customFormat="false" ht="15" hidden="false" customHeight="true" outlineLevel="0" collapsed="false">
      <c r="A35" s="5" t="s">
        <v>146</v>
      </c>
      <c r="B35" s="8" t="n">
        <f aca="false">(1-0.15)*B33+0.15*B34</f>
        <v>0.00908034671518413</v>
      </c>
    </row>
    <row r="37" customFormat="false" ht="15" hidden="false" customHeight="true" outlineLevel="0" collapsed="false">
      <c r="A37" s="5" t="s">
        <v>147</v>
      </c>
    </row>
    <row r="38" customFormat="false" ht="15" hidden="false" customHeight="true" outlineLevel="0" collapsed="false">
      <c r="A38" s="6" t="s">
        <v>132</v>
      </c>
      <c r="B38" s="6" t="s">
        <v>148</v>
      </c>
    </row>
    <row r="39" customFormat="false" ht="15" hidden="false" customHeight="true" outlineLevel="0" collapsed="false">
      <c r="A39" s="6" t="s">
        <v>133</v>
      </c>
      <c r="B39" s="6" t="n">
        <f aca="false">COUNT('Quarterly Data'!I17:I30)</f>
        <v>14</v>
      </c>
    </row>
    <row r="40" customFormat="false" ht="15" hidden="false" customHeight="true" outlineLevel="0" collapsed="false">
      <c r="A40" s="6" t="s">
        <v>134</v>
      </c>
      <c r="B40" s="29" t="n">
        <f aca="false">SLOPE('Quarterly Data'!L21:L34,'Quarterly Data'!I17:I30)</f>
        <v>0.00126618305630154</v>
      </c>
    </row>
    <row r="41" customFormat="false" ht="15" hidden="false" customHeight="true" outlineLevel="0" collapsed="false">
      <c r="A41" s="6" t="s">
        <v>135</v>
      </c>
      <c r="B41" s="29" t="n">
        <f aca="false">INTERCEPT('Quarterly Data'!L21:L34,'Quarterly Data'!I17:I30)</f>
        <v>-0.0939980190483506</v>
      </c>
    </row>
    <row r="42" customFormat="false" ht="15" hidden="false" customHeight="true" outlineLevel="0" collapsed="false">
      <c r="A42" s="6" t="s">
        <v>136</v>
      </c>
      <c r="B42" s="12" t="n">
        <f aca="false">CORREL('Quarterly Data'!L21:L34,'Quarterly Data'!I17:I30)</f>
        <v>0.383494631254477</v>
      </c>
    </row>
    <row r="43" customFormat="false" ht="15" hidden="false" customHeight="true" outlineLevel="0" collapsed="false">
      <c r="A43" s="6" t="s">
        <v>149</v>
      </c>
      <c r="B43" s="7" t="n">
        <f aca="false">'Quarterly Data'!I33</f>
        <v>52.8450549450549</v>
      </c>
    </row>
    <row r="44" customFormat="false" ht="15" hidden="false" customHeight="true" outlineLevel="0" collapsed="false">
      <c r="A44" s="6" t="s">
        <v>150</v>
      </c>
      <c r="B44" s="12" t="n">
        <f aca="false">(B43-'Quarterly Data'!I29)/4</f>
        <v>-1.14038461538463</v>
      </c>
    </row>
    <row r="45" customFormat="false" ht="15" hidden="false" customHeight="true" outlineLevel="0" collapsed="false">
      <c r="A45" s="6" t="s">
        <v>138</v>
      </c>
      <c r="B45" s="7" t="n">
        <f aca="false">AVERAGE('Quarterly Data'!I30:I33)</f>
        <v>55.0706043956044</v>
      </c>
    </row>
    <row r="46" customFormat="false" ht="15" hidden="false" customHeight="true" outlineLevel="0" collapsed="false">
      <c r="A46" s="6" t="s">
        <v>151</v>
      </c>
      <c r="B46" s="6" t="s">
        <v>152</v>
      </c>
    </row>
    <row r="47" customFormat="false" ht="15" hidden="false" customHeight="true" outlineLevel="0" collapsed="false">
      <c r="A47" s="6" t="s">
        <v>153</v>
      </c>
      <c r="B47" s="12" t="n">
        <f aca="false">(1-0.8^4)/(1-0.8)</f>
        <v>2.952</v>
      </c>
    </row>
    <row r="48" customFormat="false" ht="15" hidden="false" customHeight="true" outlineLevel="0" collapsed="false">
      <c r="A48" s="5" t="s">
        <v>154</v>
      </c>
      <c r="B48" s="7" t="n">
        <f aca="false">B43+B44*B47</f>
        <v>49.4786395604395</v>
      </c>
    </row>
    <row r="49" customFormat="false" ht="15" hidden="false" customHeight="true" outlineLevel="0" collapsed="false">
      <c r="A49" s="6" t="s">
        <v>140</v>
      </c>
      <c r="B49" s="7" t="n">
        <f aca="false">B48-B45</f>
        <v>-5.59196483516489</v>
      </c>
    </row>
    <row r="50" customFormat="false" ht="15" hidden="false" customHeight="true" outlineLevel="0" collapsed="false">
      <c r="A50" s="6" t="s">
        <v>141</v>
      </c>
      <c r="B50" s="28" t="n">
        <f aca="false">B40*B49</f>
        <v>-0.00708045112571985</v>
      </c>
    </row>
    <row r="51" customFormat="false" ht="15" hidden="false" customHeight="true" outlineLevel="0" collapsed="false">
      <c r="A51" s="6" t="s">
        <v>142</v>
      </c>
      <c r="B51" s="28" t="n">
        <f aca="false">B5+B50</f>
        <v>0.00141954887428016</v>
      </c>
    </row>
    <row r="52" customFormat="false" ht="15" hidden="false" customHeight="true" outlineLevel="0" collapsed="false">
      <c r="A52" s="6" t="s">
        <v>143</v>
      </c>
      <c r="B52" s="28" t="n">
        <f aca="false">'LIRA vs Comp Correlation'!E19</f>
        <v>0.007</v>
      </c>
    </row>
    <row r="53" customFormat="false" ht="15" hidden="false" customHeight="true" outlineLevel="0" collapsed="false">
      <c r="A53" s="5" t="s">
        <v>155</v>
      </c>
      <c r="B53" s="8" t="n">
        <f aca="false">(1-0.15)*B51+0.15*B52</f>
        <v>0.00225661654313813</v>
      </c>
    </row>
    <row r="55" customFormat="false" ht="15" hidden="false" customHeight="true" outlineLevel="0" collapsed="false">
      <c r="A55" s="5" t="s">
        <v>156</v>
      </c>
    </row>
    <row r="56" customFormat="false" ht="15" hidden="false" customHeight="true" outlineLevel="0" collapsed="false">
      <c r="A56" s="6" t="s">
        <v>132</v>
      </c>
      <c r="B56" s="6" t="s">
        <v>148</v>
      </c>
    </row>
    <row r="57" customFormat="false" ht="15" hidden="false" customHeight="true" outlineLevel="0" collapsed="false">
      <c r="A57" s="6" t="s">
        <v>133</v>
      </c>
      <c r="B57" s="6" t="n">
        <f aca="false">COUNT('Quarterly Data'!I17:I29)</f>
        <v>13</v>
      </c>
    </row>
    <row r="58" customFormat="false" ht="15" hidden="false" customHeight="true" outlineLevel="0" collapsed="false">
      <c r="A58" s="6" t="s">
        <v>134</v>
      </c>
      <c r="B58" s="29" t="n">
        <f aca="false">SLOPE('Quarterly Data'!L22:L34,'Quarterly Data'!I17:I29)</f>
        <v>0.00197683961601993</v>
      </c>
    </row>
    <row r="59" customFormat="false" ht="15" hidden="false" customHeight="true" outlineLevel="0" collapsed="false">
      <c r="A59" s="6" t="s">
        <v>135</v>
      </c>
      <c r="B59" s="29" t="n">
        <f aca="false">INTERCEPT('Quarterly Data'!L22:L34,'Quarterly Data'!I17:I29)</f>
        <v>-0.138236851227492</v>
      </c>
    </row>
    <row r="60" customFormat="false" ht="15" hidden="false" customHeight="true" outlineLevel="0" collapsed="false">
      <c r="A60" s="6" t="s">
        <v>136</v>
      </c>
      <c r="B60" s="12" t="n">
        <f aca="false">CORREL('Quarterly Data'!L22:L34,'Quarterly Data'!I17:I29)</f>
        <v>0.643558401587884</v>
      </c>
    </row>
    <row r="61" customFormat="false" ht="15" hidden="false" customHeight="true" outlineLevel="0" collapsed="false">
      <c r="A61" s="6" t="s">
        <v>149</v>
      </c>
      <c r="B61" s="7" t="n">
        <f aca="false">'Quarterly Data'!I33</f>
        <v>52.8450549450549</v>
      </c>
    </row>
    <row r="62" customFormat="false" ht="15" hidden="false" customHeight="true" outlineLevel="0" collapsed="false">
      <c r="A62" s="6" t="s">
        <v>150</v>
      </c>
      <c r="B62" s="12" t="n">
        <f aca="false">(B61-'Quarterly Data'!I29)/4</f>
        <v>-1.14038461538463</v>
      </c>
    </row>
    <row r="63" customFormat="false" ht="15" hidden="false" customHeight="true" outlineLevel="0" collapsed="false">
      <c r="A63" s="6" t="s">
        <v>138</v>
      </c>
      <c r="B63" s="7" t="n">
        <f aca="false">AVERAGE('Quarterly Data'!I30:I33)</f>
        <v>55.0706043956044</v>
      </c>
    </row>
    <row r="64" customFormat="false" ht="15" hidden="false" customHeight="true" outlineLevel="0" collapsed="false">
      <c r="A64" s="6" t="s">
        <v>151</v>
      </c>
      <c r="B64" s="6" t="s">
        <v>157</v>
      </c>
    </row>
    <row r="65" customFormat="false" ht="15" hidden="false" customHeight="true" outlineLevel="0" collapsed="false">
      <c r="A65" s="6" t="s">
        <v>153</v>
      </c>
      <c r="B65" s="12" t="n">
        <f aca="false">(1-0.8^5)/(1-0.8)</f>
        <v>3.3616</v>
      </c>
    </row>
    <row r="66" customFormat="false" ht="15" hidden="false" customHeight="true" outlineLevel="0" collapsed="false">
      <c r="A66" s="5" t="s">
        <v>154</v>
      </c>
      <c r="B66" s="7" t="n">
        <f aca="false">B61+B62*B65</f>
        <v>49.0115380219779</v>
      </c>
    </row>
    <row r="67" customFormat="false" ht="15" hidden="false" customHeight="true" outlineLevel="0" collapsed="false">
      <c r="A67" s="6" t="s">
        <v>158</v>
      </c>
      <c r="B67" s="29" t="n">
        <f aca="false">1.75*ABS(B40)</f>
        <v>0.0022158203485277</v>
      </c>
    </row>
    <row r="68" customFormat="false" ht="15" hidden="false" customHeight="true" outlineLevel="0" collapsed="false">
      <c r="A68" s="6" t="s">
        <v>159</v>
      </c>
      <c r="B68" s="29" t="n">
        <f aca="false">SIGN(B58)*MIN(ABS(B58),B67)</f>
        <v>0.00197683961601993</v>
      </c>
    </row>
    <row r="69" customFormat="false" ht="15" hidden="false" customHeight="true" outlineLevel="0" collapsed="false">
      <c r="A69" s="6" t="s">
        <v>140</v>
      </c>
      <c r="B69" s="7" t="n">
        <f aca="false">B66-B63</f>
        <v>-6.05906637362644</v>
      </c>
    </row>
    <row r="70" customFormat="false" ht="15" hidden="false" customHeight="true" outlineLevel="0" collapsed="false">
      <c r="A70" s="6" t="s">
        <v>141</v>
      </c>
      <c r="B70" s="28" t="n">
        <f aca="false">B68*B69</f>
        <v>-0.0119778024434789</v>
      </c>
    </row>
    <row r="71" customFormat="false" ht="15" hidden="false" customHeight="true" outlineLevel="0" collapsed="false">
      <c r="A71" s="6" t="s">
        <v>142</v>
      </c>
      <c r="B71" s="28" t="n">
        <f aca="false">B5+B70</f>
        <v>-0.00347780244347894</v>
      </c>
    </row>
    <row r="72" customFormat="false" ht="15" hidden="false" customHeight="true" outlineLevel="0" collapsed="false">
      <c r="A72" s="6" t="s">
        <v>143</v>
      </c>
      <c r="B72" s="28" t="n">
        <f aca="false">'LIRA vs Comp Correlation'!E20</f>
        <v>0.005</v>
      </c>
    </row>
    <row r="73" customFormat="false" ht="15" hidden="false" customHeight="true" outlineLevel="0" collapsed="false">
      <c r="A73" s="5" t="s">
        <v>160</v>
      </c>
      <c r="B73" s="8" t="n">
        <f aca="false">(1-0.15)*B71+0.15*B72</f>
        <v>-0.0022061320769571</v>
      </c>
    </row>
    <row r="76" customFormat="false" ht="15" hidden="false" customHeight="true" outlineLevel="0" collapsed="false">
      <c r="A76" s="10" t="s">
        <v>161</v>
      </c>
    </row>
    <row r="77" customFormat="false" ht="15" hidden="false" customHeight="true" outlineLevel="0" collapsed="false">
      <c r="A77" s="5" t="s">
        <v>130</v>
      </c>
      <c r="B77" s="28" t="n">
        <f aca="false">AVERAGE('Quarterly Data'!L67:L68)</f>
        <v>0.004</v>
      </c>
    </row>
    <row r="79" customFormat="false" ht="15" hidden="false" customHeight="true" outlineLevel="0" collapsed="false">
      <c r="A79" s="5" t="s">
        <v>131</v>
      </c>
    </row>
    <row r="80" customFormat="false" ht="15" hidden="false" customHeight="true" outlineLevel="0" collapsed="false">
      <c r="A80" s="6" t="s">
        <v>132</v>
      </c>
      <c r="B80" s="6" t="s">
        <v>28</v>
      </c>
    </row>
    <row r="81" customFormat="false" ht="15" hidden="false" customHeight="true" outlineLevel="0" collapsed="false">
      <c r="A81" s="6" t="s">
        <v>133</v>
      </c>
      <c r="B81" s="6" t="n">
        <f aca="false">COUNT('Quarterly Data'!E51:E67)</f>
        <v>17</v>
      </c>
    </row>
    <row r="82" customFormat="false" ht="15" hidden="false" customHeight="true" outlineLevel="0" collapsed="false">
      <c r="A82" s="6" t="s">
        <v>134</v>
      </c>
      <c r="B82" s="29" t="n">
        <f aca="false">SLOPE('Quarterly Data'!L52:L68,'Quarterly Data'!E51:E67)</f>
        <v>-0.0217047715618737</v>
      </c>
    </row>
    <row r="83" customFormat="false" ht="15" hidden="false" customHeight="true" outlineLevel="0" collapsed="false">
      <c r="A83" s="6" t="s">
        <v>135</v>
      </c>
      <c r="B83" s="29" t="n">
        <f aca="false">INTERCEPT('Quarterly Data'!L52:L68,'Quarterly Data'!E51:E67)</f>
        <v>0.124207387989528</v>
      </c>
    </row>
    <row r="84" customFormat="false" ht="15" hidden="false" customHeight="true" outlineLevel="0" collapsed="false">
      <c r="A84" s="6" t="s">
        <v>136</v>
      </c>
      <c r="B84" s="12" t="n">
        <f aca="false">CORREL('Quarterly Data'!L52:L68,'Quarterly Data'!E51:E67)</f>
        <v>-0.519875106625705</v>
      </c>
    </row>
    <row r="85" customFormat="false" ht="15" hidden="false" customHeight="true" outlineLevel="0" collapsed="false">
      <c r="A85" s="6" t="s">
        <v>137</v>
      </c>
      <c r="B85" s="7" t="n">
        <f aca="false">'Quarterly Data'!E68</f>
        <v>6.49538461538462</v>
      </c>
    </row>
    <row r="86" customFormat="false" ht="15" hidden="false" customHeight="true" outlineLevel="0" collapsed="false">
      <c r="A86" s="6" t="s">
        <v>138</v>
      </c>
      <c r="B86" s="7" t="n">
        <f aca="false">AVERAGE('Quarterly Data'!E65:E68)</f>
        <v>6.31423076923077</v>
      </c>
    </row>
    <row r="87" customFormat="false" ht="15" hidden="false" customHeight="true" outlineLevel="0" collapsed="false">
      <c r="A87" s="5" t="s">
        <v>139</v>
      </c>
      <c r="B87" s="7" t="n">
        <f aca="false">(B85+B86)/2</f>
        <v>6.4048076923077</v>
      </c>
    </row>
    <row r="88" customFormat="false" ht="15" hidden="false" customHeight="true" outlineLevel="0" collapsed="false">
      <c r="A88" s="6" t="s">
        <v>140</v>
      </c>
      <c r="B88" s="7" t="n">
        <f aca="false">B87-B86</f>
        <v>0.0905769230769238</v>
      </c>
    </row>
    <row r="89" customFormat="false" ht="15" hidden="false" customHeight="true" outlineLevel="0" collapsed="false">
      <c r="A89" s="6" t="s">
        <v>141</v>
      </c>
      <c r="B89" s="28" t="n">
        <f aca="false">B82*B88</f>
        <v>-0.00196595142416204</v>
      </c>
    </row>
    <row r="90" customFormat="false" ht="15" hidden="false" customHeight="true" outlineLevel="0" collapsed="false">
      <c r="A90" s="6" t="s">
        <v>142</v>
      </c>
      <c r="B90" s="28" t="n">
        <f aca="false">B77+B89</f>
        <v>0.00203404857583797</v>
      </c>
    </row>
    <row r="91" customFormat="false" ht="15" hidden="false" customHeight="true" outlineLevel="0" collapsed="false">
      <c r="A91" s="6" t="s">
        <v>143</v>
      </c>
      <c r="B91" s="28" t="n">
        <f aca="false">'LIRA vs Comp Correlation'!E17</f>
        <v>0.021</v>
      </c>
    </row>
    <row r="92" customFormat="false" ht="15" hidden="false" customHeight="true" outlineLevel="0" collapsed="false">
      <c r="A92" s="5" t="s">
        <v>144</v>
      </c>
      <c r="B92" s="8" t="n">
        <f aca="false">(1-0.15)*B90+0.15*B91</f>
        <v>0.00487894128946227</v>
      </c>
    </row>
    <row r="94" customFormat="false" ht="15" hidden="false" customHeight="true" outlineLevel="0" collapsed="false">
      <c r="A94" s="5" t="s">
        <v>145</v>
      </c>
    </row>
    <row r="95" customFormat="false" ht="15" hidden="false" customHeight="true" outlineLevel="0" collapsed="false">
      <c r="A95" s="6" t="s">
        <v>132</v>
      </c>
      <c r="B95" s="6" t="s">
        <v>28</v>
      </c>
    </row>
    <row r="96" customFormat="false" ht="15" hidden="false" customHeight="true" outlineLevel="0" collapsed="false">
      <c r="A96" s="6" t="s">
        <v>133</v>
      </c>
      <c r="B96" s="6" t="n">
        <f aca="false">COUNT('Quarterly Data'!E51:E66)</f>
        <v>16</v>
      </c>
    </row>
    <row r="97" customFormat="false" ht="15" hidden="false" customHeight="true" outlineLevel="0" collapsed="false">
      <c r="A97" s="6" t="s">
        <v>134</v>
      </c>
      <c r="B97" s="29" t="n">
        <f aca="false">SLOPE('Quarterly Data'!L53:L68,'Quarterly Data'!E51:E66)</f>
        <v>-0.0149483419722098</v>
      </c>
    </row>
    <row r="98" customFormat="false" ht="15" hidden="false" customHeight="true" outlineLevel="0" collapsed="false">
      <c r="A98" s="6" t="s">
        <v>135</v>
      </c>
      <c r="B98" s="29" t="n">
        <f aca="false">INTERCEPT('Quarterly Data'!L53:L68,'Quarterly Data'!E51:E66)</f>
        <v>0.0800722060217086</v>
      </c>
    </row>
    <row r="99" customFormat="false" ht="15" hidden="false" customHeight="true" outlineLevel="0" collapsed="false">
      <c r="A99" s="6" t="s">
        <v>136</v>
      </c>
      <c r="B99" s="12" t="n">
        <f aca="false">CORREL('Quarterly Data'!L53:L68,'Quarterly Data'!E51:E66)</f>
        <v>-0.360976619277723</v>
      </c>
    </row>
    <row r="100" customFormat="false" ht="15" hidden="false" customHeight="true" outlineLevel="0" collapsed="false">
      <c r="A100" s="6" t="s">
        <v>137</v>
      </c>
      <c r="B100" s="7" t="n">
        <f aca="false">'Quarterly Data'!E68</f>
        <v>6.49538461538462</v>
      </c>
    </row>
    <row r="101" customFormat="false" ht="15" hidden="false" customHeight="true" outlineLevel="0" collapsed="false">
      <c r="A101" s="6" t="s">
        <v>138</v>
      </c>
      <c r="B101" s="7" t="n">
        <f aca="false">AVERAGE('Quarterly Data'!E65:E68)</f>
        <v>6.31423076923077</v>
      </c>
    </row>
    <row r="102" customFormat="false" ht="15" hidden="false" customHeight="true" outlineLevel="0" collapsed="false">
      <c r="A102" s="5" t="s">
        <v>139</v>
      </c>
      <c r="B102" s="7" t="n">
        <f aca="false">(B100+B101)/2</f>
        <v>6.4048076923077</v>
      </c>
    </row>
    <row r="103" customFormat="false" ht="15" hidden="false" customHeight="true" outlineLevel="0" collapsed="false">
      <c r="A103" s="6" t="s">
        <v>140</v>
      </c>
      <c r="B103" s="7" t="n">
        <f aca="false">B102-B101</f>
        <v>0.0905769230769238</v>
      </c>
    </row>
    <row r="104" customFormat="false" ht="15" hidden="false" customHeight="true" outlineLevel="0" collapsed="false">
      <c r="A104" s="6" t="s">
        <v>141</v>
      </c>
      <c r="B104" s="28" t="n">
        <f aca="false">B97*B103</f>
        <v>-0.0013539748209444</v>
      </c>
    </row>
    <row r="105" customFormat="false" ht="15" hidden="false" customHeight="true" outlineLevel="0" collapsed="false">
      <c r="A105" s="6" t="s">
        <v>142</v>
      </c>
      <c r="B105" s="28" t="n">
        <f aca="false">B77+B104</f>
        <v>0.0026460251790556</v>
      </c>
    </row>
    <row r="106" customFormat="false" ht="15" hidden="false" customHeight="true" outlineLevel="0" collapsed="false">
      <c r="A106" s="6" t="s">
        <v>143</v>
      </c>
      <c r="B106" s="28" t="n">
        <f aca="false">'LIRA vs Comp Correlation'!E18</f>
        <v>0.021</v>
      </c>
    </row>
    <row r="107" customFormat="false" ht="15" hidden="false" customHeight="true" outlineLevel="0" collapsed="false">
      <c r="A107" s="5" t="s">
        <v>146</v>
      </c>
      <c r="B107" s="8" t="n">
        <f aca="false">(1-0.15)*B105+0.15*B106</f>
        <v>0.00539912140219726</v>
      </c>
    </row>
    <row r="109" customFormat="false" ht="15" hidden="false" customHeight="true" outlineLevel="0" collapsed="false">
      <c r="A109" s="5" t="s">
        <v>147</v>
      </c>
    </row>
    <row r="110" customFormat="false" ht="15" hidden="false" customHeight="true" outlineLevel="0" collapsed="false">
      <c r="A110" s="6" t="s">
        <v>132</v>
      </c>
      <c r="B110" s="6" t="s">
        <v>148</v>
      </c>
    </row>
    <row r="111" customFormat="false" ht="15" hidden="false" customHeight="true" outlineLevel="0" collapsed="false">
      <c r="A111" s="6" t="s">
        <v>133</v>
      </c>
      <c r="B111" s="6" t="n">
        <f aca="false">COUNT('Quarterly Data'!I51:I64)</f>
        <v>14</v>
      </c>
    </row>
    <row r="112" customFormat="false" ht="15" hidden="false" customHeight="true" outlineLevel="0" collapsed="false">
      <c r="A112" s="6" t="s">
        <v>134</v>
      </c>
      <c r="B112" s="29" t="n">
        <f aca="false">SLOPE('Quarterly Data'!L55:L68,'Quarterly Data'!I51:I64)</f>
        <v>0.00144747241892443</v>
      </c>
    </row>
    <row r="113" customFormat="false" ht="15" hidden="false" customHeight="true" outlineLevel="0" collapsed="false">
      <c r="A113" s="6" t="s">
        <v>135</v>
      </c>
      <c r="B113" s="29" t="n">
        <f aca="false">INTERCEPT('Quarterly Data'!L55:L68,'Quarterly Data'!I51:I64)</f>
        <v>-0.113391627745454</v>
      </c>
    </row>
    <row r="114" customFormat="false" ht="15" hidden="false" customHeight="true" outlineLevel="0" collapsed="false">
      <c r="A114" s="6" t="s">
        <v>136</v>
      </c>
      <c r="B114" s="12" t="n">
        <f aca="false">CORREL('Quarterly Data'!L55:L68,'Quarterly Data'!I51:I64)</f>
        <v>0.330399371087756</v>
      </c>
    </row>
    <row r="115" customFormat="false" ht="15" hidden="false" customHeight="true" outlineLevel="0" collapsed="false">
      <c r="A115" s="6" t="s">
        <v>149</v>
      </c>
      <c r="B115" s="7" t="n">
        <f aca="false">'Quarterly Data'!I67</f>
        <v>53.1021978021978</v>
      </c>
    </row>
    <row r="116" customFormat="false" ht="15" hidden="false" customHeight="true" outlineLevel="0" collapsed="false">
      <c r="A116" s="6" t="s">
        <v>150</v>
      </c>
      <c r="B116" s="12" t="n">
        <f aca="false">(B115-'Quarterly Data'!I63)/4</f>
        <v>-1.14478021978023</v>
      </c>
    </row>
    <row r="117" customFormat="false" ht="15" hidden="false" customHeight="true" outlineLevel="0" collapsed="false">
      <c r="A117" s="6" t="s">
        <v>138</v>
      </c>
      <c r="B117" s="7" t="n">
        <f aca="false">AVERAGE('Quarterly Data'!I64:I67)</f>
        <v>55.1112637362637</v>
      </c>
    </row>
    <row r="118" customFormat="false" ht="15" hidden="false" customHeight="true" outlineLevel="0" collapsed="false">
      <c r="A118" s="6" t="s">
        <v>151</v>
      </c>
      <c r="B118" s="6" t="s">
        <v>152</v>
      </c>
    </row>
    <row r="119" customFormat="false" ht="15" hidden="false" customHeight="true" outlineLevel="0" collapsed="false">
      <c r="A119" s="6" t="s">
        <v>153</v>
      </c>
      <c r="B119" s="12" t="n">
        <f aca="false">(1-0.8^4)/(1-0.8)</f>
        <v>2.952</v>
      </c>
    </row>
    <row r="120" customFormat="false" ht="15" hidden="false" customHeight="true" outlineLevel="0" collapsed="false">
      <c r="A120" s="5" t="s">
        <v>154</v>
      </c>
      <c r="B120" s="7" t="n">
        <f aca="false">B115+B116*B119</f>
        <v>49.7228065934066</v>
      </c>
    </row>
    <row r="121" customFormat="false" ht="15" hidden="false" customHeight="true" outlineLevel="0" collapsed="false">
      <c r="A121" s="6" t="s">
        <v>140</v>
      </c>
      <c r="B121" s="7" t="n">
        <f aca="false">B120-B117</f>
        <v>-5.38845714285715</v>
      </c>
    </row>
    <row r="122" customFormat="false" ht="15" hidden="false" customHeight="true" outlineLevel="0" collapsed="false">
      <c r="A122" s="6" t="s">
        <v>141</v>
      </c>
      <c r="B122" s="28" t="n">
        <f aca="false">B112*B121</f>
        <v>-0.00779964309484205</v>
      </c>
    </row>
    <row r="123" customFormat="false" ht="15" hidden="false" customHeight="true" outlineLevel="0" collapsed="false">
      <c r="A123" s="6" t="s">
        <v>142</v>
      </c>
      <c r="B123" s="28" t="n">
        <f aca="false">B77+B122</f>
        <v>-0.00379964309484205</v>
      </c>
    </row>
    <row r="124" customFormat="false" ht="15" hidden="false" customHeight="true" outlineLevel="0" collapsed="false">
      <c r="A124" s="6" t="s">
        <v>143</v>
      </c>
      <c r="B124" s="28" t="n">
        <f aca="false">'LIRA vs Comp Correlation'!E19</f>
        <v>0.007</v>
      </c>
    </row>
    <row r="125" customFormat="false" ht="15" hidden="false" customHeight="true" outlineLevel="0" collapsed="false">
      <c r="A125" s="5" t="s">
        <v>155</v>
      </c>
      <c r="B125" s="8" t="n">
        <f aca="false">(1-0.15)*B123+0.15*B124</f>
        <v>-0.00217969663061574</v>
      </c>
    </row>
    <row r="127" customFormat="false" ht="15" hidden="false" customHeight="true" outlineLevel="0" collapsed="false">
      <c r="A127" s="5" t="s">
        <v>156</v>
      </c>
    </row>
    <row r="128" customFormat="false" ht="15" hidden="false" customHeight="true" outlineLevel="0" collapsed="false">
      <c r="A128" s="6" t="s">
        <v>132</v>
      </c>
      <c r="B128" s="6" t="s">
        <v>148</v>
      </c>
    </row>
    <row r="129" customFormat="false" ht="15" hidden="false" customHeight="true" outlineLevel="0" collapsed="false">
      <c r="A129" s="6" t="s">
        <v>133</v>
      </c>
      <c r="B129" s="6" t="n">
        <f aca="false">COUNT('Quarterly Data'!I51:I63)</f>
        <v>13</v>
      </c>
    </row>
    <row r="130" customFormat="false" ht="15" hidden="false" customHeight="true" outlineLevel="0" collapsed="false">
      <c r="A130" s="6" t="s">
        <v>134</v>
      </c>
      <c r="B130" s="29" t="n">
        <f aca="false">SLOPE('Quarterly Data'!L56:L68,'Quarterly Data'!I51:I63)</f>
        <v>0.00321880635769902</v>
      </c>
    </row>
    <row r="131" customFormat="false" ht="15" hidden="false" customHeight="true" outlineLevel="0" collapsed="false">
      <c r="A131" s="6" t="s">
        <v>135</v>
      </c>
      <c r="B131" s="29" t="n">
        <f aca="false">INTERCEPT('Quarterly Data'!L56:L68,'Quarterly Data'!I51:I63)</f>
        <v>-0.227731238085908</v>
      </c>
    </row>
    <row r="132" customFormat="false" ht="15" hidden="false" customHeight="true" outlineLevel="0" collapsed="false">
      <c r="A132" s="6" t="s">
        <v>136</v>
      </c>
      <c r="B132" s="12" t="n">
        <f aca="false">CORREL('Quarterly Data'!L56:L68,'Quarterly Data'!I51:I63)</f>
        <v>0.725600912129542</v>
      </c>
    </row>
    <row r="133" customFormat="false" ht="15" hidden="false" customHeight="true" outlineLevel="0" collapsed="false">
      <c r="A133" s="6" t="s">
        <v>149</v>
      </c>
      <c r="B133" s="7" t="n">
        <f aca="false">'Quarterly Data'!I67</f>
        <v>53.1021978021978</v>
      </c>
    </row>
    <row r="134" customFormat="false" ht="15" hidden="false" customHeight="true" outlineLevel="0" collapsed="false">
      <c r="A134" s="6" t="s">
        <v>150</v>
      </c>
      <c r="B134" s="12" t="n">
        <f aca="false">(B133-'Quarterly Data'!I63)/4</f>
        <v>-1.14478021978023</v>
      </c>
    </row>
    <row r="135" customFormat="false" ht="15" hidden="false" customHeight="true" outlineLevel="0" collapsed="false">
      <c r="A135" s="6" t="s">
        <v>138</v>
      </c>
      <c r="B135" s="7" t="n">
        <f aca="false">AVERAGE('Quarterly Data'!I64:I67)</f>
        <v>55.1112637362637</v>
      </c>
    </row>
    <row r="136" customFormat="false" ht="15" hidden="false" customHeight="true" outlineLevel="0" collapsed="false">
      <c r="A136" s="6" t="s">
        <v>151</v>
      </c>
      <c r="B136" s="6" t="s">
        <v>157</v>
      </c>
    </row>
    <row r="137" customFormat="false" ht="15" hidden="false" customHeight="true" outlineLevel="0" collapsed="false">
      <c r="A137" s="6" t="s">
        <v>153</v>
      </c>
      <c r="B137" s="12" t="n">
        <f aca="false">(1-0.8^5)/(1-0.8)</f>
        <v>3.3616</v>
      </c>
    </row>
    <row r="138" customFormat="false" ht="15" hidden="false" customHeight="true" outlineLevel="0" collapsed="false">
      <c r="A138" s="5" t="s">
        <v>154</v>
      </c>
      <c r="B138" s="7" t="n">
        <f aca="false">B133+B134*B137</f>
        <v>49.2539046153846</v>
      </c>
    </row>
    <row r="139" customFormat="false" ht="15" hidden="false" customHeight="true" outlineLevel="0" collapsed="false">
      <c r="A139" s="6" t="s">
        <v>158</v>
      </c>
      <c r="B139" s="29" t="n">
        <f aca="false">1.75*ABS(B112)</f>
        <v>0.00253307673311775</v>
      </c>
    </row>
    <row r="140" customFormat="false" ht="15" hidden="false" customHeight="true" outlineLevel="0" collapsed="false">
      <c r="A140" s="6" t="s">
        <v>159</v>
      </c>
      <c r="B140" s="29" t="n">
        <f aca="false">SIGN(B130)*MIN(ABS(B130),B139)</f>
        <v>0.00253307673311775</v>
      </c>
    </row>
    <row r="141" customFormat="false" ht="15" hidden="false" customHeight="true" outlineLevel="0" collapsed="false">
      <c r="A141" s="6" t="s">
        <v>140</v>
      </c>
      <c r="B141" s="7" t="n">
        <f aca="false">B138-B135</f>
        <v>-5.85735912087912</v>
      </c>
    </row>
    <row r="142" customFormat="false" ht="15" hidden="false" customHeight="true" outlineLevel="0" collapsed="false">
      <c r="A142" s="6" t="s">
        <v>141</v>
      </c>
      <c r="B142" s="28" t="n">
        <f aca="false">B140*B141</f>
        <v>-0.0148371401066139</v>
      </c>
    </row>
    <row r="143" customFormat="false" ht="15" hidden="false" customHeight="true" outlineLevel="0" collapsed="false">
      <c r="A143" s="6" t="s">
        <v>142</v>
      </c>
      <c r="B143" s="28" t="n">
        <f aca="false">B77+B142</f>
        <v>-0.0108371401066139</v>
      </c>
    </row>
    <row r="144" customFormat="false" ht="15" hidden="false" customHeight="true" outlineLevel="0" collapsed="false">
      <c r="A144" s="6" t="s">
        <v>143</v>
      </c>
      <c r="B144" s="28" t="n">
        <f aca="false">'LIRA vs Comp Correlation'!E20</f>
        <v>0.005</v>
      </c>
    </row>
    <row r="145" customFormat="false" ht="15" hidden="false" customHeight="true" outlineLevel="0" collapsed="false">
      <c r="A145" s="5" t="s">
        <v>160</v>
      </c>
      <c r="B145" s="8" t="n">
        <f aca="false">(1-0.15)*B143+0.15*B144</f>
        <v>-0.00846156909062184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8" min="3" style="0" width="20"/>
  </cols>
  <sheetData>
    <row r="1" customFormat="false" ht="17.35" hidden="false" customHeight="false" outlineLevel="0" collapsed="false">
      <c r="A1" s="30" t="s">
        <v>162</v>
      </c>
    </row>
    <row r="2" customFormat="false" ht="105" hidden="false" customHeight="true" outlineLevel="0" collapsed="false">
      <c r="A2" s="3" t="s">
        <v>163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31" t="s">
        <v>164</v>
      </c>
    </row>
    <row r="5" customFormat="false" ht="26.85" hidden="false" customHeight="false" outlineLevel="0" collapsed="false">
      <c r="A5" s="4" t="s">
        <v>3</v>
      </c>
      <c r="B5" s="4" t="s">
        <v>35</v>
      </c>
      <c r="C5" s="4" t="s">
        <v>165</v>
      </c>
      <c r="D5" s="4" t="s">
        <v>29</v>
      </c>
      <c r="E5" s="4" t="s">
        <v>30</v>
      </c>
      <c r="F5" s="4" t="s">
        <v>31</v>
      </c>
      <c r="G5" s="4" t="s">
        <v>148</v>
      </c>
      <c r="H5" s="4" t="s">
        <v>166</v>
      </c>
    </row>
    <row r="6" customFormat="false" ht="15" hidden="false" customHeight="false" outlineLevel="0" collapsed="false">
      <c r="A6" s="32" t="s">
        <v>40</v>
      </c>
      <c r="B6" s="33" t="n">
        <v>0.03</v>
      </c>
      <c r="C6" s="34" t="n">
        <f aca="false">'Quarterly Data'!E5</f>
        <v>4.25</v>
      </c>
      <c r="D6" s="34" t="n">
        <f aca="false">'Quarterly Data'!F5</f>
        <v>5.29296703296703</v>
      </c>
      <c r="E6" s="34" t="n">
        <f aca="false">'Quarterly Data'!G5</f>
        <v>0.688046075566726</v>
      </c>
      <c r="F6" s="33" t="n">
        <f aca="false">'Quarterly Data'!H5</f>
        <v>0.0179742461319807</v>
      </c>
      <c r="G6" s="35" t="n">
        <f aca="false">'Quarterly Data'!I5</f>
        <v>96.8285714285714</v>
      </c>
      <c r="H6" s="34" t="n">
        <f aca="false">'Quarterly Data'!J5</f>
        <v>1.30428571428571</v>
      </c>
    </row>
    <row r="7" customFormat="false" ht="15" hidden="false" customHeight="false" outlineLevel="0" collapsed="false">
      <c r="A7" s="32" t="s">
        <v>43</v>
      </c>
      <c r="B7" s="33" t="n">
        <v>0.031</v>
      </c>
      <c r="C7" s="34" t="n">
        <f aca="false">'Quarterly Data'!E6</f>
        <v>3.86461538461538</v>
      </c>
      <c r="D7" s="34" t="n">
        <f aca="false">'Quarterly Data'!F6</f>
        <v>5.35076923076923</v>
      </c>
      <c r="E7" s="34" t="n">
        <f aca="false">'Quarterly Data'!G6</f>
        <v>0.668984535994869</v>
      </c>
      <c r="F7" s="33" t="n">
        <f aca="false">'Quarterly Data'!H6</f>
        <v>0.0174646193664974</v>
      </c>
      <c r="G7" s="35" t="n">
        <f aca="false">'Quarterly Data'!I6</f>
        <v>98.4131868131868</v>
      </c>
      <c r="H7" s="34" t="n">
        <f aca="false">'Quarterly Data'!J6</f>
        <v>1.34801098901099</v>
      </c>
    </row>
    <row r="8" customFormat="false" ht="15" hidden="false" customHeight="false" outlineLevel="0" collapsed="false">
      <c r="A8" s="32" t="s">
        <v>44</v>
      </c>
      <c r="B8" s="33" t="n">
        <v>0.038</v>
      </c>
      <c r="C8" s="34" t="n">
        <f aca="false">'Quarterly Data'!E7</f>
        <v>3.63</v>
      </c>
      <c r="D8" s="34" t="n">
        <f aca="false">'Quarterly Data'!F7</f>
        <v>5.4389010989011</v>
      </c>
      <c r="E8" s="34" t="n">
        <f aca="false">'Quarterly Data'!G7</f>
        <v>0.715343973233013</v>
      </c>
      <c r="F8" s="33" t="n">
        <f aca="false">'Quarterly Data'!H7</f>
        <v>0.0175236468237885</v>
      </c>
      <c r="G8" s="35" t="n">
        <f aca="false">'Quarterly Data'!I7</f>
        <v>93.0934065934066</v>
      </c>
      <c r="H8" s="34" t="n">
        <f aca="false">'Quarterly Data'!J7</f>
        <v>1.49342857142857</v>
      </c>
    </row>
    <row r="9" customFormat="false" ht="15" hidden="false" customHeight="false" outlineLevel="0" collapsed="false">
      <c r="A9" s="32" t="s">
        <v>45</v>
      </c>
      <c r="B9" s="33" t="n">
        <v>0.053</v>
      </c>
      <c r="C9" s="34" t="n">
        <f aca="false">'Quarterly Data'!E8</f>
        <v>3.67538461538462</v>
      </c>
      <c r="D9" s="34" t="n">
        <f aca="false">'Quarterly Data'!F8</f>
        <v>5.46142857142857</v>
      </c>
      <c r="E9" s="34" t="n">
        <f aca="false">'Quarterly Data'!G8</f>
        <v>0.700049511291828</v>
      </c>
      <c r="F9" s="33" t="n">
        <f aca="false">'Quarterly Data'!H8</f>
        <v>0.0228208041432496</v>
      </c>
      <c r="G9" s="35" t="n">
        <f aca="false">'Quarterly Data'!I8</f>
        <v>98.7659340659341</v>
      </c>
      <c r="H9" s="34" t="n">
        <f aca="false">'Quarterly Data'!J8</f>
        <v>1.4867032967033</v>
      </c>
    </row>
    <row r="10" customFormat="false" ht="15" hidden="false" customHeight="false" outlineLevel="0" collapsed="false">
      <c r="A10" s="32" t="s">
        <v>46</v>
      </c>
      <c r="B10" s="33" t="n">
        <v>0.075</v>
      </c>
      <c r="C10" s="34" t="n">
        <f aca="false">'Quarterly Data'!E9</f>
        <v>3.39923076923077</v>
      </c>
      <c r="D10" s="34" t="n">
        <f aca="false">'Quarterly Data'!F9</f>
        <v>5.06362637362637</v>
      </c>
      <c r="E10" s="34" t="n">
        <f aca="false">'Quarterly Data'!G9</f>
        <v>0.636342658108226</v>
      </c>
      <c r="F10" s="33" t="n">
        <f aca="false">'Quarterly Data'!H9</f>
        <v>0.0129678437774043</v>
      </c>
      <c r="G10" s="35" t="n">
        <f aca="false">'Quarterly Data'!I9</f>
        <v>86.3736263736264</v>
      </c>
      <c r="H10" s="34" t="n">
        <f aca="false">'Quarterly Data'!J9</f>
        <v>1.29067032967033</v>
      </c>
    </row>
    <row r="11" customFormat="false" ht="15" hidden="false" customHeight="false" outlineLevel="0" collapsed="false">
      <c r="A11" s="32" t="s">
        <v>47</v>
      </c>
      <c r="B11" s="33" t="n">
        <v>0.25</v>
      </c>
      <c r="C11" s="34" t="n">
        <f aca="false">'Quarterly Data'!E10</f>
        <v>3.12769230769231</v>
      </c>
      <c r="D11" s="34" t="n">
        <f aca="false">'Quarterly Data'!F10</f>
        <v>4.88725274725275</v>
      </c>
      <c r="E11" s="34" t="n">
        <f aca="false">'Quarterly Data'!G10</f>
        <v>0.871104611218942</v>
      </c>
      <c r="F11" s="33" t="n">
        <f aca="false">'Quarterly Data'!H10</f>
        <v>0.00610111687733106</v>
      </c>
      <c r="G11" s="35" t="n">
        <f aca="false">'Quarterly Data'!I10</f>
        <v>74.3197802197802</v>
      </c>
      <c r="H11" s="34" t="n">
        <f aca="false">'Quarterly Data'!J10</f>
        <v>1.38236263736264</v>
      </c>
    </row>
    <row r="12" customFormat="false" ht="15" hidden="false" customHeight="false" outlineLevel="0" collapsed="false">
      <c r="A12" s="32" t="s">
        <v>48</v>
      </c>
      <c r="B12" s="33" t="n">
        <v>0.246</v>
      </c>
      <c r="C12" s="34" t="n">
        <f aca="false">'Quarterly Data'!E11</f>
        <v>2.88230769230769</v>
      </c>
      <c r="D12" s="34" t="n">
        <f aca="false">'Quarterly Data'!F11</f>
        <v>6.47516483516484</v>
      </c>
      <c r="E12" s="34" t="n">
        <f aca="false">'Quarterly Data'!G11</f>
        <v>1.00715984700393</v>
      </c>
      <c r="F12" s="33" t="n">
        <f aca="false">'Quarterly Data'!H11</f>
        <v>0.0127931314631724</v>
      </c>
      <c r="G12" s="35" t="n">
        <f aca="false">'Quarterly Data'!I11</f>
        <v>78.8307692307692</v>
      </c>
      <c r="H12" s="34" t="n">
        <f aca="false">'Quarterly Data'!J11</f>
        <v>1.60054945054945</v>
      </c>
    </row>
    <row r="13" customFormat="false" ht="15" hidden="false" customHeight="false" outlineLevel="0" collapsed="false">
      <c r="A13" s="32" t="s">
        <v>49</v>
      </c>
      <c r="B13" s="33" t="n">
        <v>0.25</v>
      </c>
      <c r="C13" s="34" t="n">
        <f aca="false">'Quarterly Data'!E12</f>
        <v>2.72461538461539</v>
      </c>
      <c r="D13" s="34" t="n">
        <f aca="false">'Quarterly Data'!F12</f>
        <v>6.71384615384616</v>
      </c>
      <c r="E13" s="34" t="n">
        <f aca="false">'Quarterly Data'!G12</f>
        <v>0.883299003726231</v>
      </c>
      <c r="F13" s="33" t="n">
        <f aca="false">'Quarterly Data'!H12</f>
        <v>0.0130248248611182</v>
      </c>
      <c r="G13" s="35" t="n">
        <f aca="false">'Quarterly Data'!I12</f>
        <v>78.9098901098901</v>
      </c>
      <c r="H13" s="34" t="n">
        <f aca="false">'Quarterly Data'!J12</f>
        <v>1.76932967032967</v>
      </c>
    </row>
    <row r="14" customFormat="false" ht="15" hidden="false" customHeight="false" outlineLevel="0" collapsed="false">
      <c r="A14" s="32" t="s">
        <v>50</v>
      </c>
      <c r="B14" s="33" t="n">
        <v>0.299</v>
      </c>
      <c r="C14" s="34" t="n">
        <f aca="false">'Quarterly Data'!E13</f>
        <v>2.99</v>
      </c>
      <c r="D14" s="34" t="n">
        <f aca="false">'Quarterly Data'!F13</f>
        <v>6.01725274725275</v>
      </c>
      <c r="E14" s="34" t="n">
        <f aca="false">'Quarterly Data'!G13</f>
        <v>0.812874818639003</v>
      </c>
      <c r="F14" s="33" t="n">
        <f aca="false">'Quarterly Data'!H13</f>
        <v>0.0289535556845211</v>
      </c>
      <c r="G14" s="35" t="n">
        <f aca="false">'Quarterly Data'!I13</f>
        <v>83.4846153846154</v>
      </c>
      <c r="H14" s="34" t="n">
        <f aca="false">'Quarterly Data'!J13</f>
        <v>1.72340659340659</v>
      </c>
    </row>
    <row r="15" customFormat="false" ht="15" hidden="false" customHeight="false" outlineLevel="0" collapsed="false">
      <c r="A15" s="32" t="s">
        <v>51</v>
      </c>
      <c r="B15" s="33" t="n">
        <v>0.034</v>
      </c>
      <c r="C15" s="34" t="n">
        <f aca="false">'Quarterly Data'!E14</f>
        <v>2.93</v>
      </c>
      <c r="D15" s="34" t="n">
        <f aca="false">'Quarterly Data'!F14</f>
        <v>5.88538461538462</v>
      </c>
      <c r="E15" s="34" t="n">
        <f aca="false">'Quarterly Data'!G14</f>
        <v>0.725166323077545</v>
      </c>
      <c r="F15" s="33" t="n">
        <f aca="false">'Quarterly Data'!H14</f>
        <v>0.0523882705021366</v>
      </c>
      <c r="G15" s="35" t="n">
        <f aca="false">'Quarterly Data'!I14</f>
        <v>83.0395604395605</v>
      </c>
      <c r="H15" s="34" t="n">
        <f aca="false">'Quarterly Data'!J14</f>
        <v>1.67792307692308</v>
      </c>
    </row>
    <row r="16" customFormat="false" ht="15" hidden="false" customHeight="false" outlineLevel="0" collapsed="false">
      <c r="A16" s="32" t="s">
        <v>52</v>
      </c>
      <c r="B16" s="33" t="n">
        <v>0.055</v>
      </c>
      <c r="C16" s="34" t="n">
        <f aca="false">'Quarterly Data'!E15</f>
        <v>2.93384615384615</v>
      </c>
      <c r="D16" s="34" t="n">
        <f aca="false">'Quarterly Data'!F15</f>
        <v>6.17186813186813</v>
      </c>
      <c r="E16" s="34" t="n">
        <f aca="false">'Quarterly Data'!G15</f>
        <v>0.703190318804171</v>
      </c>
      <c r="F16" s="33" t="n">
        <f aca="false">'Quarterly Data'!H15</f>
        <v>0.0562663359106461</v>
      </c>
      <c r="G16" s="35" t="n">
        <f aca="false">'Quarterly Data'!I15</f>
        <v>71.6010989010989</v>
      </c>
      <c r="H16" s="34" t="n">
        <f aca="false">'Quarterly Data'!J15</f>
        <v>1.69603296703297</v>
      </c>
    </row>
    <row r="17" customFormat="false" ht="15" hidden="false" customHeight="false" outlineLevel="0" collapsed="false">
      <c r="A17" s="32" t="s">
        <v>53</v>
      </c>
      <c r="B17" s="33" t="n">
        <v>0.076</v>
      </c>
      <c r="C17" s="34" t="n">
        <f aca="false">'Quarterly Data'!E16</f>
        <v>3.19538461538462</v>
      </c>
      <c r="D17" s="34" t="n">
        <f aca="false">'Quarterly Data'!F16</f>
        <v>6.3778021978022</v>
      </c>
      <c r="E17" s="34" t="n">
        <f aca="false">'Quarterly Data'!G16</f>
        <v>0.802473134029057</v>
      </c>
      <c r="F17" s="33" t="n">
        <f aca="false">'Quarterly Data'!H16</f>
        <v>0.071021416979598</v>
      </c>
      <c r="G17" s="35" t="n">
        <f aca="false">'Quarterly Data'!I16</f>
        <v>68.4241758241758</v>
      </c>
      <c r="H17" s="34" t="n">
        <f aca="false">'Quarterly Data'!J16</f>
        <v>1.85995604395604</v>
      </c>
    </row>
    <row r="18" customFormat="false" ht="15" hidden="false" customHeight="false" outlineLevel="0" collapsed="false">
      <c r="A18" s="32" t="s">
        <v>54</v>
      </c>
      <c r="B18" s="33" t="n">
        <v>0.017</v>
      </c>
      <c r="C18" s="34" t="n">
        <f aca="false">'Quarterly Data'!E17</f>
        <v>4.29538461538462</v>
      </c>
      <c r="D18" s="34" t="n">
        <f aca="false">'Quarterly Data'!F17</f>
        <v>5.79824175824176</v>
      </c>
      <c r="E18" s="34" t="n">
        <f aca="false">'Quarterly Data'!G17</f>
        <v>0.700783853632723</v>
      </c>
      <c r="F18" s="33" t="n">
        <f aca="false">'Quarterly Data'!H17</f>
        <v>0.0819792213155925</v>
      </c>
      <c r="G18" s="35" t="n">
        <f aca="false">'Quarterly Data'!I17</f>
        <v>62.432967032967</v>
      </c>
      <c r="H18" s="34" t="n">
        <f aca="false">'Quarterly Data'!J17</f>
        <v>1.86440659340659</v>
      </c>
    </row>
    <row r="19" customFormat="false" ht="15" hidden="false" customHeight="false" outlineLevel="0" collapsed="false">
      <c r="A19" s="32" t="s">
        <v>55</v>
      </c>
      <c r="B19" s="33" t="n">
        <v>0.054</v>
      </c>
      <c r="C19" s="34" t="n">
        <f aca="false">'Quarterly Data'!E18</f>
        <v>5.39846153846154</v>
      </c>
      <c r="D19" s="34" t="n">
        <f aca="false">'Quarterly Data'!F18</f>
        <v>5.11</v>
      </c>
      <c r="E19" s="34" t="n">
        <f aca="false">'Quarterly Data'!G18</f>
        <v>0.578920044907451</v>
      </c>
      <c r="F19" s="33" t="n">
        <f aca="false">'Quarterly Data'!H18</f>
        <v>0.0870071285984435</v>
      </c>
      <c r="G19" s="35" t="n">
        <f aca="false">'Quarterly Data'!I18</f>
        <v>53.2802197802198</v>
      </c>
      <c r="H19" s="34" t="n">
        <f aca="false">'Quarterly Data'!J18</f>
        <v>1.71458241758242</v>
      </c>
    </row>
    <row r="20" customFormat="false" ht="15" hidden="false" customHeight="false" outlineLevel="0" collapsed="false">
      <c r="A20" s="32" t="s">
        <v>56</v>
      </c>
      <c r="B20" s="33" t="n">
        <v>0.045</v>
      </c>
      <c r="C20" s="34" t="n">
        <f aca="false">'Quarterly Data'!E19</f>
        <v>6.08076923076923</v>
      </c>
      <c r="D20" s="34" t="n">
        <f aca="false">'Quarterly Data'!F19</f>
        <v>4.64835164835165</v>
      </c>
      <c r="E20" s="34" t="n">
        <f aca="false">'Quarterly Data'!G19</f>
        <v>0.591019449188036</v>
      </c>
      <c r="F20" s="33" t="n">
        <f aca="false">'Quarterly Data'!H19</f>
        <v>0.0805792143313497</v>
      </c>
      <c r="G20" s="35" t="n">
        <f aca="false">'Quarterly Data'!I19</f>
        <v>58.8923076923077</v>
      </c>
      <c r="H20" s="34" t="n">
        <f aca="false">'Quarterly Data'!J19</f>
        <v>1.57785714285714</v>
      </c>
    </row>
    <row r="21" customFormat="false" ht="15" hidden="false" customHeight="false" outlineLevel="0" collapsed="false">
      <c r="A21" s="32" t="s">
        <v>57</v>
      </c>
      <c r="B21" s="33" t="n">
        <v>-0.003</v>
      </c>
      <c r="C21" s="34" t="n">
        <f aca="false">'Quarterly Data'!E20</f>
        <v>6.47153846153846</v>
      </c>
      <c r="D21" s="34" t="n">
        <f aca="false">'Quarterly Data'!F20</f>
        <v>4.04120879120879</v>
      </c>
      <c r="E21" s="34" t="n">
        <f aca="false">'Quarterly Data'!G20</f>
        <v>0.619183548672466</v>
      </c>
      <c r="F21" s="33" t="n">
        <f aca="false">'Quarterly Data'!H20</f>
        <v>0.0665035472897047</v>
      </c>
      <c r="G21" s="35" t="n">
        <f aca="false">'Quarterly Data'!I20</f>
        <v>60.4043956043956</v>
      </c>
      <c r="H21" s="34" t="n">
        <f aca="false">'Quarterly Data'!J20</f>
        <v>1.41497802197802</v>
      </c>
    </row>
    <row r="22" customFormat="false" ht="15" hidden="false" customHeight="false" outlineLevel="0" collapsed="false">
      <c r="A22" s="32" t="s">
        <v>58</v>
      </c>
      <c r="B22" s="33" t="n">
        <v>-0.046</v>
      </c>
      <c r="C22" s="34" t="n">
        <f aca="false">'Quarterly Data'!E21</f>
        <v>6.39384615384615</v>
      </c>
      <c r="D22" s="34" t="n">
        <f aca="false">'Quarterly Data'!F21</f>
        <v>4.42065934065934</v>
      </c>
      <c r="E22" s="34" t="n">
        <f aca="false">'Quarterly Data'!G21</f>
        <v>0.642963914766169</v>
      </c>
      <c r="F22" s="33" t="n">
        <f aca="false">'Quarterly Data'!H21</f>
        <v>0.0527241944780641</v>
      </c>
      <c r="G22" s="35" t="n">
        <f aca="false">'Quarterly Data'!I21</f>
        <v>64.1318681318681</v>
      </c>
      <c r="H22" s="34" t="n">
        <f aca="false">'Quarterly Data'!J21</f>
        <v>1.51503296703297</v>
      </c>
    </row>
    <row r="23" customFormat="false" ht="15" hidden="false" customHeight="false" outlineLevel="0" collapsed="false">
      <c r="A23" s="32" t="s">
        <v>59</v>
      </c>
      <c r="B23" s="33" t="n">
        <v>-0.02</v>
      </c>
      <c r="C23" s="34" t="n">
        <f aca="false">'Quarterly Data'!E22</f>
        <v>6.66384615384615</v>
      </c>
      <c r="D23" s="34" t="n">
        <f aca="false">'Quarterly Data'!F22</f>
        <v>4.17802197802198</v>
      </c>
      <c r="E23" s="34" t="n">
        <f aca="false">'Quarterly Data'!G22</f>
        <v>0.717081330524156</v>
      </c>
      <c r="F23" s="33" t="n">
        <f aca="false">'Quarterly Data'!H22</f>
        <v>0.0338702427313165</v>
      </c>
      <c r="G23" s="35" t="n">
        <f aca="false">'Quarterly Data'!I22</f>
        <v>64.8351648351648</v>
      </c>
      <c r="H23" s="34" t="n">
        <f aca="false">'Quarterly Data'!J22</f>
        <v>1.51932967032967</v>
      </c>
    </row>
    <row r="24" customFormat="false" ht="15" hidden="false" customHeight="false" outlineLevel="0" collapsed="false">
      <c r="A24" s="32" t="s">
        <v>60</v>
      </c>
      <c r="B24" s="33" t="n">
        <v>-0.035</v>
      </c>
      <c r="C24" s="34" t="n">
        <f aca="false">'Quarterly Data'!E23</f>
        <v>7.28</v>
      </c>
      <c r="D24" s="34" t="n">
        <f aca="false">'Quarterly Data'!F23</f>
        <v>3.93428571428571</v>
      </c>
      <c r="E24" s="34" t="n">
        <f aca="false">'Quarterly Data'!G23</f>
        <v>0.672120797516015</v>
      </c>
      <c r="F24" s="33" t="n">
        <f aca="false">'Quarterly Data'!H23</f>
        <v>0.0352892952579074</v>
      </c>
      <c r="G24" s="35" t="n">
        <f aca="false">'Quarterly Data'!I23</f>
        <v>67.110989010989</v>
      </c>
      <c r="H24" s="34" t="n">
        <f aca="false">'Quarterly Data'!J23</f>
        <v>1.55057142857143</v>
      </c>
    </row>
    <row r="25" customFormat="false" ht="15" hidden="false" customHeight="false" outlineLevel="0" collapsed="false">
      <c r="A25" s="32" t="s">
        <v>61</v>
      </c>
      <c r="B25" s="33" t="n">
        <v>-0.04</v>
      </c>
      <c r="C25" s="34" t="n">
        <f aca="false">'Quarterly Data'!E24</f>
        <v>7.00307692307692</v>
      </c>
      <c r="D25" s="34" t="n">
        <f aca="false">'Quarterly Data'!F24</f>
        <v>3.8610989010989</v>
      </c>
      <c r="E25" s="34" t="n">
        <f aca="false">'Quarterly Data'!G24</f>
        <v>0.641567655314305</v>
      </c>
      <c r="F25" s="33" t="n">
        <f aca="false">'Quarterly Data'!H24</f>
        <v>0.0319374186779993</v>
      </c>
      <c r="G25" s="35" t="n">
        <f aca="false">'Quarterly Data'!I24</f>
        <v>69.6626373626374</v>
      </c>
      <c r="H25" s="34" t="n">
        <f aca="false">'Quarterly Data'!J24</f>
        <v>1.51992307692308</v>
      </c>
    </row>
    <row r="26" customFormat="false" ht="15" hidden="false" customHeight="false" outlineLevel="0" collapsed="false">
      <c r="A26" s="32" t="s">
        <v>62</v>
      </c>
      <c r="B26" s="33" t="n">
        <v>-0.032</v>
      </c>
      <c r="C26" s="34" t="n">
        <f aca="false">'Quarterly Data'!E25</f>
        <v>6.85615384615385</v>
      </c>
      <c r="D26" s="34" t="n">
        <f aca="false">'Quarterly Data'!F25</f>
        <v>4.2289010989011</v>
      </c>
      <c r="E26" s="34" t="n">
        <f aca="false">'Quarterly Data'!G25</f>
        <v>0.679846280051129</v>
      </c>
      <c r="F26" s="33" t="n">
        <f aca="false">'Quarterly Data'!H25</f>
        <v>0.0329943966567841</v>
      </c>
      <c r="G26" s="35" t="n">
        <f aca="false">'Quarterly Data'!I25</f>
        <v>77.9131868131868</v>
      </c>
      <c r="H26" s="34" t="n">
        <f aca="false">'Quarterly Data'!J25</f>
        <v>1.50251648351648</v>
      </c>
    </row>
    <row r="27" customFormat="false" ht="15" hidden="false" customHeight="false" outlineLevel="0" collapsed="false">
      <c r="A27" s="32" t="s">
        <v>63</v>
      </c>
      <c r="B27" s="33" t="n">
        <v>-0.036</v>
      </c>
      <c r="C27" s="34" t="n">
        <f aca="false">'Quarterly Data'!E26</f>
        <v>6.95076923076923</v>
      </c>
      <c r="D27" s="34" t="n">
        <f aca="false">'Quarterly Data'!F26</f>
        <v>3.9889010989011</v>
      </c>
      <c r="E27" s="34" t="n">
        <f aca="false">'Quarterly Data'!G26</f>
        <v>0.694062082698877</v>
      </c>
      <c r="F27" s="33" t="n">
        <f aca="false">'Quarterly Data'!H26</f>
        <v>0.0304003284527501</v>
      </c>
      <c r="G27" s="35" t="n">
        <f aca="false">'Quarterly Data'!I26</f>
        <v>68.1505494505495</v>
      </c>
      <c r="H27" s="34" t="n">
        <f aca="false">'Quarterly Data'!J26</f>
        <v>1.43715384615385</v>
      </c>
    </row>
    <row r="28" customFormat="false" ht="15" hidden="false" customHeight="false" outlineLevel="0" collapsed="false">
      <c r="A28" s="32" t="s">
        <v>64</v>
      </c>
      <c r="B28" s="33" t="n">
        <v>-0.012</v>
      </c>
      <c r="C28" s="34" t="n">
        <f aca="false">'Quarterly Data'!E27</f>
        <v>6.35692307692308</v>
      </c>
      <c r="D28" s="34" t="n">
        <f aca="false">'Quarterly Data'!F27</f>
        <v>3.88604395604396</v>
      </c>
      <c r="E28" s="34" t="n">
        <f aca="false">'Quarterly Data'!G27</f>
        <v>0.681628377481683</v>
      </c>
      <c r="F28" s="33" t="n">
        <f aca="false">'Quarterly Data'!H27</f>
        <v>0.0251836103885035</v>
      </c>
      <c r="G28" s="35" t="n">
        <f aca="false">'Quarterly Data'!I27</f>
        <v>69.3472527472528</v>
      </c>
      <c r="H28" s="34" t="n">
        <f aca="false">'Quarterly Data'!J27</f>
        <v>1.45023076923077</v>
      </c>
    </row>
    <row r="29" customFormat="false" ht="15" hidden="false" customHeight="false" outlineLevel="0" collapsed="false">
      <c r="A29" s="32" t="s">
        <v>65</v>
      </c>
      <c r="B29" s="33" t="n">
        <v>0.013</v>
      </c>
      <c r="C29" s="34" t="n">
        <f aca="false">'Quarterly Data'!E28</f>
        <v>6.82785714285714</v>
      </c>
      <c r="D29" s="34" t="n">
        <f aca="false">'Quarterly Data'!F28</f>
        <v>4.15081632653061</v>
      </c>
      <c r="E29" s="34" t="n">
        <f aca="false">'Quarterly Data'!G28</f>
        <v>0.676056474900412</v>
      </c>
      <c r="F29" s="33" t="n">
        <f aca="false">'Quarterly Data'!H28</f>
        <v>0.0284999161695905</v>
      </c>
      <c r="G29" s="35" t="n">
        <f aca="false">'Quarterly Data'!I28</f>
        <v>72.2663265306123</v>
      </c>
      <c r="H29" s="34" t="n">
        <f aca="false">'Quarterly Data'!J28</f>
        <v>1.47777551020408</v>
      </c>
    </row>
    <row r="30" customFormat="false" ht="15" hidden="false" customHeight="false" outlineLevel="0" collapsed="false">
      <c r="A30" s="32" t="s">
        <v>66</v>
      </c>
      <c r="B30" s="33" t="n">
        <v>0.002</v>
      </c>
      <c r="C30" s="34" t="n">
        <f aca="false">'Quarterly Data'!E29</f>
        <v>6.74076923076923</v>
      </c>
      <c r="D30" s="34" t="n">
        <f aca="false">'Quarterly Data'!F29</f>
        <v>4.08241758241758</v>
      </c>
      <c r="E30" s="34" t="n">
        <f aca="false">'Quarterly Data'!G29</f>
        <v>0.665150037078984</v>
      </c>
      <c r="F30" s="33" t="n">
        <f aca="false">'Quarterly Data'!H29</f>
        <v>0.0247168381348384</v>
      </c>
      <c r="G30" s="35" t="n">
        <f aca="false">'Quarterly Data'!I29</f>
        <v>57.4065934065934</v>
      </c>
      <c r="H30" s="34" t="n">
        <f aca="false">'Quarterly Data'!J29</f>
        <v>1.46002197802198</v>
      </c>
    </row>
    <row r="31" customFormat="false" ht="15" hidden="false" customHeight="false" outlineLevel="0" collapsed="false">
      <c r="A31" s="32" t="s">
        <v>67</v>
      </c>
      <c r="B31" s="33" t="n">
        <v>0.014</v>
      </c>
      <c r="C31" s="34" t="n">
        <f aca="false">'Quarterly Data'!E30</f>
        <v>6.78384615384615</v>
      </c>
      <c r="D31" s="34" t="n">
        <f aca="false">'Quarterly Data'!F30</f>
        <v>3.98923076923077</v>
      </c>
      <c r="E31" s="34" t="n">
        <f aca="false">'Quarterly Data'!G30</f>
        <v>0.647620086157546</v>
      </c>
      <c r="F31" s="33" t="n">
        <f aca="false">'Quarterly Data'!H30</f>
        <v>0.0259373389040527</v>
      </c>
      <c r="G31" s="35" t="n">
        <f aca="false">'Quarterly Data'!I30</f>
        <v>58.4362637362637</v>
      </c>
      <c r="H31" s="34" t="n">
        <f aca="false">'Quarterly Data'!J30</f>
        <v>1.40267032967033</v>
      </c>
    </row>
    <row r="32" customFormat="false" ht="15" hidden="false" customHeight="false" outlineLevel="0" collapsed="false">
      <c r="A32" s="32" t="s">
        <v>68</v>
      </c>
      <c r="B32" s="33" t="n">
        <v>0.001</v>
      </c>
      <c r="C32" s="34" t="n">
        <f aca="false">'Quarterly Data'!E31</f>
        <v>6.38692307692308</v>
      </c>
      <c r="D32" s="34" t="n">
        <f aca="false">'Quarterly Data'!F31</f>
        <v>4.0567032967033</v>
      </c>
      <c r="E32" s="34" t="n">
        <f aca="false">'Quarterly Data'!G31</f>
        <v>0.688953576043563</v>
      </c>
      <c r="F32" s="33" t="n">
        <f aca="false">'Quarterly Data'!H31</f>
        <v>0.0289738950948526</v>
      </c>
      <c r="G32" s="35" t="n">
        <f aca="false">'Quarterly Data'!I31</f>
        <v>55.4527472527473</v>
      </c>
      <c r="H32" s="34" t="n">
        <f aca="false">'Quarterly Data'!J31</f>
        <v>1.40463736263736</v>
      </c>
    </row>
    <row r="33" customFormat="false" ht="15" hidden="false" customHeight="false" outlineLevel="0" collapsed="false">
      <c r="A33" s="32" t="s">
        <v>69</v>
      </c>
      <c r="B33" s="33" t="n">
        <v>0.003</v>
      </c>
      <c r="C33" s="34" t="n">
        <f aca="false">'Quarterly Data'!E32</f>
        <v>6.17769230769231</v>
      </c>
      <c r="D33" s="34" t="n">
        <f aca="false">'Quarterly Data'!F32</f>
        <v>4.12956043956044</v>
      </c>
      <c r="E33" s="34" t="n">
        <f aca="false">'Quarterly Data'!G32</f>
        <v>0.682602266729797</v>
      </c>
      <c r="F33" s="33" t="n">
        <f aca="false">'Quarterly Data'!H32</f>
        <v>0.0257973878102356</v>
      </c>
      <c r="G33" s="35" t="n">
        <f aca="false">'Quarterly Data'!I32</f>
        <v>53.5483516483516</v>
      </c>
      <c r="H33" s="34" t="n">
        <f aca="false">'Quarterly Data'!J32</f>
        <v>1.4313956043956</v>
      </c>
    </row>
    <row r="34" customFormat="false" ht="15" hidden="false" customHeight="false" outlineLevel="0" collapsed="false">
      <c r="A34" s="32" t="s">
        <v>70</v>
      </c>
      <c r="B34" s="33" t="n">
        <v>0.004</v>
      </c>
      <c r="C34" s="34" t="n">
        <f aca="false">'Quarterly Data'!E33</f>
        <v>6.19692307692308</v>
      </c>
      <c r="D34" s="34" t="n">
        <f aca="false">'Quarterly Data'!F33</f>
        <v>4.03208791208791</v>
      </c>
      <c r="E34" s="34" t="n">
        <f aca="false">'Quarterly Data'!G33</f>
        <v>0.644751132279414</v>
      </c>
      <c r="F34" s="33" t="n">
        <f aca="false">'Quarterly Data'!H33</f>
        <v>0.0321486437439045</v>
      </c>
      <c r="G34" s="35" t="n">
        <f aca="false">'Quarterly Data'!I33</f>
        <v>52.8450549450549</v>
      </c>
      <c r="H34" s="34" t="n">
        <f aca="false">'Quarterly Data'!J33</f>
        <v>1.43684615384615</v>
      </c>
    </row>
    <row r="35" customFormat="false" ht="15" hidden="false" customHeight="false" outlineLevel="0" collapsed="false">
      <c r="A35" s="32" t="s">
        <v>71</v>
      </c>
      <c r="B35" s="33" t="n">
        <v>0.013</v>
      </c>
      <c r="C35" s="34" t="n">
        <f aca="false">'Quarterly Data'!E34</f>
        <v>6.49538461538462</v>
      </c>
      <c r="D35" s="34" t="n">
        <f aca="false">'Quarterly Data'!F34</f>
        <v>0</v>
      </c>
      <c r="E35" s="34" t="n">
        <f aca="false">'Quarterly Data'!G34</f>
        <v>0</v>
      </c>
      <c r="F35" s="33" t="n">
        <f aca="false">'Quarterly Data'!H34</f>
        <v>0.0367817006834343</v>
      </c>
      <c r="G35" s="35" t="n">
        <f aca="false">'Quarterly Data'!I34</f>
        <v>0</v>
      </c>
      <c r="H35" s="34" t="n">
        <f aca="false">'Quarterly Data'!J34</f>
        <v>0</v>
      </c>
    </row>
    <row r="37" customFormat="false" ht="15" hidden="false" customHeight="false" outlineLevel="0" collapsed="false">
      <c r="A37" s="31" t="s">
        <v>167</v>
      </c>
    </row>
    <row r="38" customFormat="false" ht="26.85" hidden="false" customHeight="false" outlineLevel="0" collapsed="false">
      <c r="A38" s="4" t="s">
        <v>3</v>
      </c>
      <c r="B38" s="4" t="s">
        <v>35</v>
      </c>
      <c r="C38" s="4" t="s">
        <v>165</v>
      </c>
      <c r="D38" s="4" t="s">
        <v>29</v>
      </c>
      <c r="E38" s="4" t="s">
        <v>30</v>
      </c>
      <c r="F38" s="4" t="s">
        <v>31</v>
      </c>
      <c r="G38" s="4" t="s">
        <v>148</v>
      </c>
      <c r="H38" s="4" t="s">
        <v>166</v>
      </c>
    </row>
    <row r="39" customFormat="false" ht="15" hidden="false" customHeight="false" outlineLevel="0" collapsed="false">
      <c r="A39" s="32" t="s">
        <v>40</v>
      </c>
      <c r="B39" s="33" t="n">
        <v>0.042</v>
      </c>
      <c r="C39" s="34" t="n">
        <f aca="false">'Quarterly Data'!E39</f>
        <v>4.25</v>
      </c>
      <c r="D39" s="34" t="n">
        <f aca="false">'Quarterly Data'!F39</f>
        <v>5.2967032967033</v>
      </c>
      <c r="E39" s="34" t="n">
        <f aca="false">'Quarterly Data'!G39</f>
        <v>0.688694690980751</v>
      </c>
      <c r="F39" s="33" t="n">
        <f aca="false">'Quarterly Data'!H39</f>
        <v>0.0179150959464858</v>
      </c>
      <c r="G39" s="35" t="n">
        <f aca="false">'Quarterly Data'!I39</f>
        <v>96.6923076923077</v>
      </c>
      <c r="H39" s="34" t="n">
        <f aca="false">'Quarterly Data'!J39</f>
        <v>1.30294505494506</v>
      </c>
    </row>
    <row r="40" customFormat="false" ht="15" hidden="false" customHeight="false" outlineLevel="0" collapsed="false">
      <c r="A40" s="32" t="s">
        <v>43</v>
      </c>
      <c r="B40" s="33" t="n">
        <v>0.032</v>
      </c>
      <c r="C40" s="34" t="n">
        <f aca="false">'Quarterly Data'!E40</f>
        <v>3.86461538461538</v>
      </c>
      <c r="D40" s="34" t="n">
        <f aca="false">'Quarterly Data'!F40</f>
        <v>5.34747252747253</v>
      </c>
      <c r="E40" s="34" t="n">
        <f aca="false">'Quarterly Data'!G40</f>
        <v>0.666928638996663</v>
      </c>
      <c r="F40" s="33" t="n">
        <f aca="false">'Quarterly Data'!H40</f>
        <v>0.017473497208039</v>
      </c>
      <c r="G40" s="35" t="n">
        <f aca="false">'Quarterly Data'!I40</f>
        <v>98.6373626373626</v>
      </c>
      <c r="H40" s="34" t="n">
        <f aca="false">'Quarterly Data'!J40</f>
        <v>1.34504395604396</v>
      </c>
    </row>
    <row r="41" customFormat="false" ht="15" hidden="false" customHeight="false" outlineLevel="0" collapsed="false">
      <c r="A41" s="32" t="s">
        <v>44</v>
      </c>
      <c r="B41" s="33" t="n">
        <v>0.03</v>
      </c>
      <c r="C41" s="34" t="n">
        <f aca="false">'Quarterly Data'!E41</f>
        <v>3.63</v>
      </c>
      <c r="D41" s="34" t="n">
        <f aca="false">'Quarterly Data'!F41</f>
        <v>5.44197802197802</v>
      </c>
      <c r="E41" s="34" t="n">
        <f aca="false">'Quarterly Data'!G41</f>
        <v>0.715325720731326</v>
      </c>
      <c r="F41" s="33" t="n">
        <f aca="false">'Quarterly Data'!H41</f>
        <v>0.0174575024016677</v>
      </c>
      <c r="G41" s="35" t="n">
        <f aca="false">'Quarterly Data'!I41</f>
        <v>92.9395604395604</v>
      </c>
      <c r="H41" s="34" t="n">
        <f aca="false">'Quarterly Data'!J41</f>
        <v>1.49226373626374</v>
      </c>
    </row>
    <row r="42" customFormat="false" ht="15" hidden="false" customHeight="false" outlineLevel="0" collapsed="false">
      <c r="A42" s="32" t="s">
        <v>45</v>
      </c>
      <c r="B42" s="33" t="n">
        <v>0.026</v>
      </c>
      <c r="C42" s="34" t="n">
        <f aca="false">'Quarterly Data'!E42</f>
        <v>3.67538461538462</v>
      </c>
      <c r="D42" s="34" t="n">
        <f aca="false">'Quarterly Data'!F42</f>
        <v>5.4521978021978</v>
      </c>
      <c r="E42" s="34" t="n">
        <f aca="false">'Quarterly Data'!G42</f>
        <v>0.700167886680452</v>
      </c>
      <c r="F42" s="33" t="n">
        <f aca="false">'Quarterly Data'!H42</f>
        <v>0.0227583480032776</v>
      </c>
      <c r="G42" s="35" t="n">
        <f aca="false">'Quarterly Data'!I42</f>
        <v>98.6736263736264</v>
      </c>
      <c r="H42" s="34" t="n">
        <f aca="false">'Quarterly Data'!J42</f>
        <v>1.48832967032967</v>
      </c>
    </row>
    <row r="43" customFormat="false" ht="15" hidden="false" customHeight="false" outlineLevel="0" collapsed="false">
      <c r="A43" s="32" t="s">
        <v>46</v>
      </c>
      <c r="B43" s="33" t="n">
        <v>0.123</v>
      </c>
      <c r="C43" s="34" t="n">
        <f aca="false">'Quarterly Data'!E43</f>
        <v>3.39923076923077</v>
      </c>
      <c r="D43" s="34" t="n">
        <f aca="false">'Quarterly Data'!F43</f>
        <v>5.1045054945055</v>
      </c>
      <c r="E43" s="34" t="n">
        <f aca="false">'Quarterly Data'!G43</f>
        <v>0.636343112460091</v>
      </c>
      <c r="F43" s="33" t="n">
        <f aca="false">'Quarterly Data'!H43</f>
        <v>0.0134555722510832</v>
      </c>
      <c r="G43" s="35" t="n">
        <f aca="false">'Quarterly Data'!I43</f>
        <v>87.0043956043956</v>
      </c>
      <c r="H43" s="34" t="n">
        <f aca="false">'Quarterly Data'!J43</f>
        <v>1.29528571428571</v>
      </c>
    </row>
    <row r="44" customFormat="false" ht="15" hidden="false" customHeight="false" outlineLevel="0" collapsed="false">
      <c r="A44" s="32" t="s">
        <v>47</v>
      </c>
      <c r="B44" s="33" t="n">
        <v>0.351</v>
      </c>
      <c r="C44" s="34" t="n">
        <f aca="false">'Quarterly Data'!E44</f>
        <v>3.12769230769231</v>
      </c>
      <c r="D44" s="34" t="n">
        <f aca="false">'Quarterly Data'!F44</f>
        <v>4.84131868131868</v>
      </c>
      <c r="E44" s="34" t="n">
        <f aca="false">'Quarterly Data'!G44</f>
        <v>0.864324574718959</v>
      </c>
      <c r="F44" s="33" t="n">
        <f aca="false">'Quarterly Data'!H44</f>
        <v>0.00583911547035387</v>
      </c>
      <c r="G44" s="35" t="n">
        <f aca="false">'Quarterly Data'!I44</f>
        <v>74.2802197802198</v>
      </c>
      <c r="H44" s="34" t="n">
        <f aca="false">'Quarterly Data'!J44</f>
        <v>1.37614285714286</v>
      </c>
    </row>
    <row r="45" customFormat="false" ht="15" hidden="false" customHeight="false" outlineLevel="0" collapsed="false">
      <c r="A45" s="32" t="s">
        <v>48</v>
      </c>
      <c r="B45" s="33" t="n">
        <v>0.304</v>
      </c>
      <c r="C45" s="34" t="n">
        <f aca="false">'Quarterly Data'!E45</f>
        <v>2.88230769230769</v>
      </c>
      <c r="D45" s="34" t="n">
        <f aca="false">'Quarterly Data'!F45</f>
        <v>6.45824175824176</v>
      </c>
      <c r="E45" s="34" t="n">
        <f aca="false">'Quarterly Data'!G45</f>
        <v>1.0085209926236</v>
      </c>
      <c r="F45" s="33" t="n">
        <f aca="false">'Quarterly Data'!H45</f>
        <v>0.0128160433325733</v>
      </c>
      <c r="G45" s="35" t="n">
        <f aca="false">'Quarterly Data'!I45</f>
        <v>78.7153846153846</v>
      </c>
      <c r="H45" s="34" t="n">
        <f aca="false">'Quarterly Data'!J45</f>
        <v>1.59795604395604</v>
      </c>
    </row>
    <row r="46" customFormat="false" ht="15" hidden="false" customHeight="false" outlineLevel="0" collapsed="false">
      <c r="A46" s="32" t="s">
        <v>49</v>
      </c>
      <c r="B46" s="33" t="n">
        <v>0.286</v>
      </c>
      <c r="C46" s="34" t="n">
        <f aca="false">'Quarterly Data'!E46</f>
        <v>2.72461538461539</v>
      </c>
      <c r="D46" s="34" t="n">
        <f aca="false">'Quarterly Data'!F46</f>
        <v>6.7156043956044</v>
      </c>
      <c r="E46" s="34" t="n">
        <f aca="false">'Quarterly Data'!G46</f>
        <v>0.884505798686037</v>
      </c>
      <c r="F46" s="33" t="n">
        <f aca="false">'Quarterly Data'!H46</f>
        <v>0.0130432386158697</v>
      </c>
      <c r="G46" s="35" t="n">
        <f aca="false">'Quarterly Data'!I46</f>
        <v>78.9175824175824</v>
      </c>
      <c r="H46" s="34" t="n">
        <f aca="false">'Quarterly Data'!J46</f>
        <v>1.76484615384615</v>
      </c>
    </row>
    <row r="47" customFormat="false" ht="15" hidden="false" customHeight="false" outlineLevel="0" collapsed="false">
      <c r="A47" s="32" t="s">
        <v>50</v>
      </c>
      <c r="B47" s="33" t="n">
        <v>0.244</v>
      </c>
      <c r="C47" s="34" t="n">
        <f aca="false">'Quarterly Data'!E47</f>
        <v>2.99</v>
      </c>
      <c r="D47" s="34" t="n">
        <f aca="false">'Quarterly Data'!F47</f>
        <v>6.03681318681319</v>
      </c>
      <c r="E47" s="34" t="n">
        <f aca="false">'Quarterly Data'!G47</f>
        <v>0.816873080619641</v>
      </c>
      <c r="F47" s="33" t="n">
        <f aca="false">'Quarterly Data'!H47</f>
        <v>0.0281038685674084</v>
      </c>
      <c r="G47" s="35" t="n">
        <f aca="false">'Quarterly Data'!I47</f>
        <v>83.3989010989011</v>
      </c>
      <c r="H47" s="34" t="n">
        <f aca="false">'Quarterly Data'!J47</f>
        <v>1.72672527472527</v>
      </c>
    </row>
    <row r="48" customFormat="false" ht="15" hidden="false" customHeight="false" outlineLevel="0" collapsed="false">
      <c r="A48" s="32" t="s">
        <v>51</v>
      </c>
      <c r="B48" s="33" t="n">
        <v>-0.022</v>
      </c>
      <c r="C48" s="34" t="n">
        <f aca="false">'Quarterly Data'!E48</f>
        <v>2.93</v>
      </c>
      <c r="D48" s="34" t="n">
        <f aca="false">'Quarterly Data'!F48</f>
        <v>5.88241758241758</v>
      </c>
      <c r="E48" s="34" t="n">
        <f aca="false">'Quarterly Data'!G48</f>
        <v>0.725175794418979</v>
      </c>
      <c r="F48" s="33" t="n">
        <f aca="false">'Quarterly Data'!H48</f>
        <v>0.0523557540050232</v>
      </c>
      <c r="G48" s="35" t="n">
        <f aca="false">'Quarterly Data'!I48</f>
        <v>83.1967032967033</v>
      </c>
      <c r="H48" s="34" t="n">
        <f aca="false">'Quarterly Data'!J48</f>
        <v>1.67796703296703</v>
      </c>
    </row>
    <row r="49" customFormat="false" ht="15" hidden="false" customHeight="false" outlineLevel="0" collapsed="false">
      <c r="A49" s="32" t="s">
        <v>52</v>
      </c>
      <c r="B49" s="33" t="n">
        <v>0.026</v>
      </c>
      <c r="C49" s="34" t="n">
        <f aca="false">'Quarterly Data'!E49</f>
        <v>2.93384615384615</v>
      </c>
      <c r="D49" s="34" t="n">
        <f aca="false">'Quarterly Data'!F49</f>
        <v>6.16296703296703</v>
      </c>
      <c r="E49" s="34" t="n">
        <f aca="false">'Quarterly Data'!G49</f>
        <v>0.703790134836729</v>
      </c>
      <c r="F49" s="33" t="n">
        <f aca="false">'Quarterly Data'!H49</f>
        <v>0.05602209321272</v>
      </c>
      <c r="G49" s="35" t="n">
        <f aca="false">'Quarterly Data'!I49</f>
        <v>71.6901098901099</v>
      </c>
      <c r="H49" s="34" t="n">
        <f aca="false">'Quarterly Data'!J49</f>
        <v>1.69612087912088</v>
      </c>
    </row>
    <row r="50" customFormat="false" ht="15" hidden="false" customHeight="false" outlineLevel="0" collapsed="false">
      <c r="A50" s="32" t="s">
        <v>53</v>
      </c>
      <c r="B50" s="33" t="n">
        <v>0.051</v>
      </c>
      <c r="C50" s="34" t="n">
        <f aca="false">'Quarterly Data'!E50</f>
        <v>3.19538461538462</v>
      </c>
      <c r="D50" s="34" t="n">
        <f aca="false">'Quarterly Data'!F50</f>
        <v>6.37428571428571</v>
      </c>
      <c r="E50" s="34" t="n">
        <f aca="false">'Quarterly Data'!G50</f>
        <v>0.799834466650506</v>
      </c>
      <c r="F50" s="33" t="n">
        <f aca="false">'Quarterly Data'!H50</f>
        <v>0.0707521083891811</v>
      </c>
      <c r="G50" s="35" t="n">
        <f aca="false">'Quarterly Data'!I50</f>
        <v>68.5230769230769</v>
      </c>
      <c r="H50" s="34" t="n">
        <f aca="false">'Quarterly Data'!J50</f>
        <v>1.85503296703297</v>
      </c>
    </row>
    <row r="51" customFormat="false" ht="15" hidden="false" customHeight="false" outlineLevel="0" collapsed="false">
      <c r="A51" s="32" t="s">
        <v>54</v>
      </c>
      <c r="B51" s="33" t="n">
        <v>-0.038</v>
      </c>
      <c r="C51" s="34" t="n">
        <f aca="false">'Quarterly Data'!E51</f>
        <v>4.29538461538462</v>
      </c>
      <c r="D51" s="34" t="n">
        <f aca="false">'Quarterly Data'!F51</f>
        <v>5.82</v>
      </c>
      <c r="E51" s="34" t="n">
        <f aca="false">'Quarterly Data'!G51</f>
        <v>0.704820741485501</v>
      </c>
      <c r="F51" s="33" t="n">
        <f aca="false">'Quarterly Data'!H51</f>
        <v>0.0818699411535206</v>
      </c>
      <c r="G51" s="35" t="n">
        <f aca="false">'Quarterly Data'!I51</f>
        <v>62.5516483516483</v>
      </c>
      <c r="H51" s="34" t="n">
        <f aca="false">'Quarterly Data'!J51</f>
        <v>1.86754945054945</v>
      </c>
    </row>
    <row r="52" customFormat="false" ht="15" hidden="false" customHeight="false" outlineLevel="0" collapsed="false">
      <c r="A52" s="32" t="s">
        <v>55</v>
      </c>
      <c r="B52" s="33" t="n">
        <v>0.002</v>
      </c>
      <c r="C52" s="34" t="n">
        <f aca="false">'Quarterly Data'!E52</f>
        <v>5.39846153846154</v>
      </c>
      <c r="D52" s="34" t="n">
        <f aca="false">'Quarterly Data'!F52</f>
        <v>5.12538461538462</v>
      </c>
      <c r="E52" s="34" t="n">
        <f aca="false">'Quarterly Data'!G52</f>
        <v>0.580911599859474</v>
      </c>
      <c r="F52" s="33" t="n">
        <f aca="false">'Quarterly Data'!H52</f>
        <v>0.0869157699207441</v>
      </c>
      <c r="G52" s="35" t="n">
        <f aca="false">'Quarterly Data'!I52</f>
        <v>53.5065934065934</v>
      </c>
      <c r="H52" s="34" t="n">
        <f aca="false">'Quarterly Data'!J52</f>
        <v>1.71618681318681</v>
      </c>
    </row>
    <row r="53" customFormat="false" ht="15" hidden="false" customHeight="false" outlineLevel="0" collapsed="false">
      <c r="A53" s="32" t="s">
        <v>56</v>
      </c>
      <c r="B53" s="33" t="n">
        <v>0.03</v>
      </c>
      <c r="C53" s="34" t="n">
        <f aca="false">'Quarterly Data'!E53</f>
        <v>6.08076923076923</v>
      </c>
      <c r="D53" s="34" t="n">
        <f aca="false">'Quarterly Data'!F53</f>
        <v>4.6567032967033</v>
      </c>
      <c r="E53" s="34" t="n">
        <f aca="false">'Quarterly Data'!G53</f>
        <v>0.589904203845624</v>
      </c>
      <c r="F53" s="33" t="n">
        <f aca="false">'Quarterly Data'!H53</f>
        <v>0.0807259297836855</v>
      </c>
      <c r="G53" s="35" t="n">
        <f aca="false">'Quarterly Data'!I53</f>
        <v>58.7076923076923</v>
      </c>
      <c r="H53" s="34" t="n">
        <f aca="false">'Quarterly Data'!J53</f>
        <v>1.58058241758242</v>
      </c>
    </row>
    <row r="54" customFormat="false" ht="15" hidden="false" customHeight="false" outlineLevel="0" collapsed="false">
      <c r="A54" s="32" t="s">
        <v>57</v>
      </c>
      <c r="B54" s="33" t="n">
        <v>-0.007</v>
      </c>
      <c r="C54" s="34" t="n">
        <f aca="false">'Quarterly Data'!E54</f>
        <v>6.44428571428571</v>
      </c>
      <c r="D54" s="34" t="n">
        <f aca="false">'Quarterly Data'!F54</f>
        <v>4.06479591836735</v>
      </c>
      <c r="E54" s="34" t="n">
        <f aca="false">'Quarterly Data'!G54</f>
        <v>0.619602470784543</v>
      </c>
      <c r="F54" s="33" t="n">
        <f aca="false">'Quarterly Data'!H54</f>
        <v>0.0663843532640474</v>
      </c>
      <c r="G54" s="35" t="n">
        <f aca="false">'Quarterly Data'!I54</f>
        <v>60.684693877551</v>
      </c>
      <c r="H54" s="34" t="n">
        <f aca="false">'Quarterly Data'!J54</f>
        <v>1.42428571428571</v>
      </c>
    </row>
    <row r="55" customFormat="false" ht="15" hidden="false" customHeight="false" outlineLevel="0" collapsed="false">
      <c r="A55" s="32" t="s">
        <v>58</v>
      </c>
      <c r="B55" s="33" t="n">
        <v>-0.043</v>
      </c>
      <c r="C55" s="34" t="n">
        <f aca="false">'Quarterly Data'!E55</f>
        <v>6.41692307692308</v>
      </c>
      <c r="D55" s="34" t="n">
        <f aca="false">'Quarterly Data'!F55</f>
        <v>4.41802197802198</v>
      </c>
      <c r="E55" s="34" t="n">
        <f aca="false">'Quarterly Data'!G55</f>
        <v>0.648209800638444</v>
      </c>
      <c r="F55" s="33" t="n">
        <f aca="false">'Quarterly Data'!H55</f>
        <v>0.0516499499366203</v>
      </c>
      <c r="G55" s="35" t="n">
        <f aca="false">'Quarterly Data'!I55</f>
        <v>63.7417582417582</v>
      </c>
      <c r="H55" s="34" t="n">
        <f aca="false">'Quarterly Data'!J55</f>
        <v>1.51771428571429</v>
      </c>
    </row>
    <row r="56" customFormat="false" ht="15" hidden="false" customHeight="false" outlineLevel="0" collapsed="false">
      <c r="A56" s="32" t="s">
        <v>59</v>
      </c>
      <c r="B56" s="33" t="n">
        <v>-0.016</v>
      </c>
      <c r="C56" s="34" t="n">
        <f aca="false">'Quarterly Data'!E56</f>
        <v>6.70307692307692</v>
      </c>
      <c r="D56" s="34" t="n">
        <f aca="false">'Quarterly Data'!F56</f>
        <v>4.16406593406593</v>
      </c>
      <c r="E56" s="34" t="n">
        <f aca="false">'Quarterly Data'!G56</f>
        <v>0.712983890411852</v>
      </c>
      <c r="F56" s="33" t="n">
        <f aca="false">'Quarterly Data'!H56</f>
        <v>0.0336144464434147</v>
      </c>
      <c r="G56" s="35" t="n">
        <f aca="false">'Quarterly Data'!I56</f>
        <v>65.4296703296703</v>
      </c>
      <c r="H56" s="34" t="n">
        <f aca="false">'Quarterly Data'!J56</f>
        <v>1.51953846153846</v>
      </c>
    </row>
    <row r="57" customFormat="false" ht="15" hidden="false" customHeight="false" outlineLevel="0" collapsed="false">
      <c r="A57" s="32" t="s">
        <v>60</v>
      </c>
      <c r="B57" s="33" t="n">
        <v>-0.074</v>
      </c>
      <c r="C57" s="34" t="n">
        <f aca="false">'Quarterly Data'!E57</f>
        <v>7.34615384615385</v>
      </c>
      <c r="D57" s="34" t="n">
        <f aca="false">'Quarterly Data'!F57</f>
        <v>3.92120879120879</v>
      </c>
      <c r="E57" s="34" t="n">
        <f aca="false">'Quarterly Data'!G57</f>
        <v>0.67092257627151</v>
      </c>
      <c r="F57" s="33" t="n">
        <f aca="false">'Quarterly Data'!H57</f>
        <v>0.0350827638570259</v>
      </c>
      <c r="G57" s="35" t="n">
        <f aca="false">'Quarterly Data'!I57</f>
        <v>66.6978021978022</v>
      </c>
      <c r="H57" s="34" t="n">
        <f aca="false">'Quarterly Data'!J57</f>
        <v>1.54697802197802</v>
      </c>
    </row>
    <row r="58" customFormat="false" ht="15" hidden="false" customHeight="false" outlineLevel="0" collapsed="false">
      <c r="A58" s="32" t="s">
        <v>61</v>
      </c>
      <c r="B58" s="33" t="n">
        <v>-0.062</v>
      </c>
      <c r="C58" s="34" t="n">
        <f aca="false">'Quarterly Data'!E58</f>
        <v>6.91615384615385</v>
      </c>
      <c r="D58" s="34" t="n">
        <f aca="false">'Quarterly Data'!F58</f>
        <v>3.88</v>
      </c>
      <c r="E58" s="34" t="n">
        <f aca="false">'Quarterly Data'!G58</f>
        <v>0.643276120706392</v>
      </c>
      <c r="F58" s="33" t="n">
        <f aca="false">'Quarterly Data'!H58</f>
        <v>0.0318275514812461</v>
      </c>
      <c r="G58" s="35" t="n">
        <f aca="false">'Quarterly Data'!I58</f>
        <v>70.5340659340659</v>
      </c>
      <c r="H58" s="34" t="n">
        <f aca="false">'Quarterly Data'!J58</f>
        <v>1.52208791208791</v>
      </c>
    </row>
    <row r="59" customFormat="false" ht="15" hidden="false" customHeight="false" outlineLevel="0" collapsed="false">
      <c r="A59" s="32" t="s">
        <v>62</v>
      </c>
      <c r="B59" s="33" t="n">
        <v>-0.041</v>
      </c>
      <c r="C59" s="34" t="n">
        <f aca="false">'Quarterly Data'!E59</f>
        <v>6.90153846153846</v>
      </c>
      <c r="D59" s="34" t="n">
        <f aca="false">'Quarterly Data'!F59</f>
        <v>4.22725274725275</v>
      </c>
      <c r="E59" s="34" t="n">
        <f aca="false">'Quarterly Data'!G59</f>
        <v>0.680571884316908</v>
      </c>
      <c r="F59" s="33" t="n">
        <f aca="false">'Quarterly Data'!H59</f>
        <v>0.03310249106518</v>
      </c>
      <c r="G59" s="35" t="n">
        <f aca="false">'Quarterly Data'!I59</f>
        <v>77.5934065934066</v>
      </c>
      <c r="H59" s="34" t="n">
        <f aca="false">'Quarterly Data'!J59</f>
        <v>1.4952967032967</v>
      </c>
    </row>
    <row r="60" customFormat="false" ht="15" hidden="false" customHeight="false" outlineLevel="0" collapsed="false">
      <c r="A60" s="32" t="s">
        <v>63</v>
      </c>
      <c r="B60" s="33" t="n">
        <v>-0.051</v>
      </c>
      <c r="C60" s="34" t="n">
        <f aca="false">'Quarterly Data'!E60</f>
        <v>6.91307692307692</v>
      </c>
      <c r="D60" s="34" t="n">
        <f aca="false">'Quarterly Data'!F60</f>
        <v>3.97747252747253</v>
      </c>
      <c r="E60" s="34" t="n">
        <f aca="false">'Quarterly Data'!G60</f>
        <v>0.695702954040849</v>
      </c>
      <c r="F60" s="33" t="n">
        <f aca="false">'Quarterly Data'!H60</f>
        <v>0.0300527313122667</v>
      </c>
      <c r="G60" s="35" t="n">
        <f aca="false">'Quarterly Data'!I60</f>
        <v>67.8571428571429</v>
      </c>
      <c r="H60" s="34" t="n">
        <f aca="false">'Quarterly Data'!J60</f>
        <v>1.43936263736264</v>
      </c>
    </row>
    <row r="61" customFormat="false" ht="15" hidden="false" customHeight="false" outlineLevel="0" collapsed="false">
      <c r="A61" s="32" t="s">
        <v>64</v>
      </c>
      <c r="B61" s="33" t="n">
        <v>-0.011</v>
      </c>
      <c r="C61" s="34" t="n">
        <f aca="false">'Quarterly Data'!E61</f>
        <v>6.35615384615385</v>
      </c>
      <c r="D61" s="34" t="n">
        <f aca="false">'Quarterly Data'!F61</f>
        <v>3.89065934065934</v>
      </c>
      <c r="E61" s="34" t="n">
        <f aca="false">'Quarterly Data'!G61</f>
        <v>0.677541206077834</v>
      </c>
      <c r="F61" s="33" t="n">
        <f aca="false">'Quarterly Data'!H61</f>
        <v>0.0252611237536164</v>
      </c>
      <c r="G61" s="35" t="n">
        <f aca="false">'Quarterly Data'!I61</f>
        <v>69.5538461538462</v>
      </c>
      <c r="H61" s="34" t="n">
        <f aca="false">'Quarterly Data'!J61</f>
        <v>1.4493956043956</v>
      </c>
    </row>
    <row r="62" customFormat="false" ht="15" hidden="false" customHeight="false" outlineLevel="0" collapsed="false">
      <c r="A62" s="32" t="s">
        <v>65</v>
      </c>
      <c r="B62" s="33" t="n">
        <v>0.002</v>
      </c>
      <c r="C62" s="34" t="n">
        <f aca="false">'Quarterly Data'!E62</f>
        <v>6.83615384615385</v>
      </c>
      <c r="D62" s="34" t="n">
        <f aca="false">'Quarterly Data'!F62</f>
        <v>4.15681318681319</v>
      </c>
      <c r="E62" s="34" t="n">
        <f aca="false">'Quarterly Data'!G62</f>
        <v>0.678821881989723</v>
      </c>
      <c r="F62" s="33" t="n">
        <f aca="false">'Quarterly Data'!H62</f>
        <v>0.0285825616035835</v>
      </c>
      <c r="G62" s="35" t="n">
        <f aca="false">'Quarterly Data'!I62</f>
        <v>72.5153846153846</v>
      </c>
      <c r="H62" s="34" t="n">
        <f aca="false">'Quarterly Data'!J62</f>
        <v>1.47997802197802</v>
      </c>
    </row>
    <row r="63" customFormat="false" ht="15" hidden="false" customHeight="false" outlineLevel="0" collapsed="false">
      <c r="A63" s="32" t="s">
        <v>66</v>
      </c>
      <c r="B63" s="33" t="n">
        <v>-0.017</v>
      </c>
      <c r="C63" s="34" t="n">
        <f aca="false">'Quarterly Data'!E63</f>
        <v>6.74076923076923</v>
      </c>
      <c r="D63" s="34" t="n">
        <f aca="false">'Quarterly Data'!F63</f>
        <v>4.08747252747253</v>
      </c>
      <c r="E63" s="34" t="n">
        <f aca="false">'Quarterly Data'!G63</f>
        <v>0.665567600855326</v>
      </c>
      <c r="F63" s="33" t="n">
        <f aca="false">'Quarterly Data'!H63</f>
        <v>0.0248190928597329</v>
      </c>
      <c r="G63" s="35" t="n">
        <f aca="false">'Quarterly Data'!I63</f>
        <v>57.6813186813187</v>
      </c>
      <c r="H63" s="34" t="n">
        <f aca="false">'Quarterly Data'!J63</f>
        <v>1.46068131868132</v>
      </c>
    </row>
    <row r="64" customFormat="false" ht="15" hidden="false" customHeight="false" outlineLevel="0" collapsed="false">
      <c r="A64" s="32" t="s">
        <v>67</v>
      </c>
      <c r="B64" s="33" t="n">
        <v>0.011</v>
      </c>
      <c r="C64" s="34" t="n">
        <f aca="false">'Quarterly Data'!E64</f>
        <v>6.78384615384615</v>
      </c>
      <c r="D64" s="34" t="n">
        <f aca="false">'Quarterly Data'!F64</f>
        <v>3.98989010989011</v>
      </c>
      <c r="E64" s="34" t="n">
        <f aca="false">'Quarterly Data'!G64</f>
        <v>0.645955537554221</v>
      </c>
      <c r="F64" s="33" t="n">
        <f aca="false">'Quarterly Data'!H64</f>
        <v>0.025813900194247</v>
      </c>
      <c r="G64" s="35" t="n">
        <f aca="false">'Quarterly Data'!I64</f>
        <v>58.3043956043956</v>
      </c>
      <c r="H64" s="34" t="n">
        <f aca="false">'Quarterly Data'!J64</f>
        <v>1.40418681318681</v>
      </c>
    </row>
    <row r="65" customFormat="false" ht="15" hidden="false" customHeight="false" outlineLevel="0" collapsed="false">
      <c r="A65" s="32" t="s">
        <v>68</v>
      </c>
      <c r="B65" s="33" t="n">
        <v>0.004</v>
      </c>
      <c r="C65" s="34" t="n">
        <f aca="false">'Quarterly Data'!E65</f>
        <v>6.38692307692308</v>
      </c>
      <c r="D65" s="34" t="n">
        <f aca="false">'Quarterly Data'!F65</f>
        <v>4.05384615384615</v>
      </c>
      <c r="E65" s="34" t="n">
        <f aca="false">'Quarterly Data'!G65</f>
        <v>0.687649787697968</v>
      </c>
      <c r="F65" s="33" t="n">
        <f aca="false">'Quarterly Data'!H65</f>
        <v>0.0290137146077054</v>
      </c>
      <c r="G65" s="35" t="n">
        <f aca="false">'Quarterly Data'!I65</f>
        <v>55.610989010989</v>
      </c>
      <c r="H65" s="34" t="n">
        <f aca="false">'Quarterly Data'!J65</f>
        <v>1.40316483516484</v>
      </c>
    </row>
    <row r="66" customFormat="false" ht="15" hidden="false" customHeight="false" outlineLevel="0" collapsed="false">
      <c r="A66" s="32" t="s">
        <v>69</v>
      </c>
      <c r="B66" s="33" t="n">
        <v>0.013</v>
      </c>
      <c r="C66" s="34" t="n">
        <f aca="false">'Quarterly Data'!E66</f>
        <v>6.17769230769231</v>
      </c>
      <c r="D66" s="34" t="n">
        <f aca="false">'Quarterly Data'!F66</f>
        <v>4.13241758241758</v>
      </c>
      <c r="E66" s="34" t="n">
        <f aca="false">'Quarterly Data'!G66</f>
        <v>0.685994509094473</v>
      </c>
      <c r="F66" s="33" t="n">
        <f aca="false">'Quarterly Data'!H66</f>
        <v>0.0259214346426797</v>
      </c>
      <c r="G66" s="35" t="n">
        <f aca="false">'Quarterly Data'!I66</f>
        <v>53.4274725274725</v>
      </c>
      <c r="H66" s="34" t="n">
        <f aca="false">'Quarterly Data'!J66</f>
        <v>1.43024175824176</v>
      </c>
    </row>
    <row r="67" customFormat="false" ht="15" hidden="false" customHeight="false" outlineLevel="0" collapsed="false">
      <c r="A67" s="32" t="s">
        <v>70</v>
      </c>
      <c r="B67" s="33" t="n">
        <v>0.006</v>
      </c>
      <c r="C67" s="34" t="n">
        <f aca="false">'Quarterly Data'!E67</f>
        <v>6.19692307692308</v>
      </c>
      <c r="D67" s="34" t="n">
        <f aca="false">'Quarterly Data'!F67</f>
        <v>4.02835164835165</v>
      </c>
      <c r="E67" s="34" t="n">
        <f aca="false">'Quarterly Data'!G67</f>
        <v>0.644420516844587</v>
      </c>
      <c r="F67" s="33" t="n">
        <f aca="false">'Quarterly Data'!H67</f>
        <v>0.0316921831457486</v>
      </c>
      <c r="G67" s="35" t="n">
        <f aca="false">'Quarterly Data'!I67</f>
        <v>53.1021978021978</v>
      </c>
      <c r="H67" s="34" t="n">
        <f aca="false">'Quarterly Data'!J67</f>
        <v>1.43808791208791</v>
      </c>
    </row>
    <row r="68" customFormat="false" ht="15" hidden="false" customHeight="false" outlineLevel="0" collapsed="false">
      <c r="A68" s="32" t="s">
        <v>71</v>
      </c>
      <c r="B68" s="33" t="n">
        <v>0.002</v>
      </c>
      <c r="C68" s="34" t="n">
        <f aca="false">'Quarterly Data'!E68</f>
        <v>6.49538461538462</v>
      </c>
      <c r="D68" s="34" t="n">
        <f aca="false">'Quarterly Data'!F68</f>
        <v>4.10615384615385</v>
      </c>
      <c r="E68" s="34" t="n">
        <f aca="false">'Quarterly Data'!G68</f>
        <v>0</v>
      </c>
      <c r="F68" s="33" t="n">
        <f aca="false">'Quarterly Data'!H68</f>
        <v>0.0370146969884824</v>
      </c>
      <c r="G68" s="35" t="n">
        <f aca="false">'Quarterly Data'!I68</f>
        <v>0</v>
      </c>
      <c r="H68" s="34" t="n">
        <f aca="false">'Quarterly Data'!J68</f>
        <v>1.40937362637363</v>
      </c>
    </row>
    <row r="70" customFormat="false" ht="15" hidden="false" customHeight="false" outlineLevel="0" collapsed="false">
      <c r="A70" s="31" t="s">
        <v>104</v>
      </c>
    </row>
    <row r="71" customFormat="false" ht="45" hidden="false" customHeight="true" outlineLevel="0" collapsed="false">
      <c r="A71" s="3" t="s">
        <v>168</v>
      </c>
      <c r="B71" s="3"/>
      <c r="C71" s="3"/>
      <c r="D71" s="3"/>
      <c r="E71" s="3"/>
      <c r="F71" s="3"/>
      <c r="G71" s="3"/>
      <c r="H71" s="3"/>
    </row>
    <row r="73" customFormat="false" ht="26.85" hidden="false" customHeight="false" outlineLevel="0" collapsed="false">
      <c r="A73" s="4" t="s">
        <v>2</v>
      </c>
      <c r="B73" s="4" t="s">
        <v>169</v>
      </c>
      <c r="C73" s="4" t="s">
        <v>106</v>
      </c>
      <c r="D73" s="4" t="s">
        <v>170</v>
      </c>
      <c r="E73" s="4" t="s">
        <v>171</v>
      </c>
      <c r="F73" s="4" t="s">
        <v>172</v>
      </c>
      <c r="G73" s="4" t="s">
        <v>173</v>
      </c>
      <c r="H73" s="4" t="s">
        <v>174</v>
      </c>
    </row>
    <row r="74" customFormat="false" ht="15" hidden="false" customHeight="false" outlineLevel="0" collapsed="false">
      <c r="A74" s="32" t="s">
        <v>8</v>
      </c>
      <c r="B74" s="32" t="s">
        <v>165</v>
      </c>
      <c r="C74" s="34" t="n">
        <f aca="false">IFERROR(CORREL(C6:C35,B6:B35),"n/a")</f>
        <v>-0.738312361027473</v>
      </c>
      <c r="D74" s="34" t="n">
        <f aca="false">IFERROR(CORREL(C6:C34,B7:B35),"n/a")</f>
        <v>-0.727851005293729</v>
      </c>
      <c r="E74" s="34" t="n">
        <f aca="false">IFERROR(CORREL(C6:C33,B8:B35),"n/a")</f>
        <v>-0.670545825678041</v>
      </c>
      <c r="F74" s="34" t="n">
        <f aca="false">IFERROR(CORREL(C6:C32,B9:B35),"n/a")</f>
        <v>-0.604912097388487</v>
      </c>
      <c r="G74" s="34" t="n">
        <f aca="false">IFERROR(CORREL(C6:C31,B10:B35),"n/a")</f>
        <v>-0.509634761937183</v>
      </c>
      <c r="H74" s="34" t="n">
        <f aca="false">IFERROR(CORREL(C6:C30,B11:B35),"n/a")</f>
        <v>-0.395877272535232</v>
      </c>
    </row>
    <row r="75" customFormat="false" ht="15" hidden="false" customHeight="false" outlineLevel="0" collapsed="false">
      <c r="A75" s="32" t="s">
        <v>8</v>
      </c>
      <c r="B75" s="32" t="s">
        <v>29</v>
      </c>
      <c r="C75" s="34" t="n">
        <f aca="false">IFERROR(CORREL(D6:D35,B6:B35),"n/a")</f>
        <v>0.689688260325704</v>
      </c>
      <c r="D75" s="34" t="n">
        <f aca="false">IFERROR(CORREL(D6:D34,B7:B35),"n/a")</f>
        <v>0.623192136348925</v>
      </c>
      <c r="E75" s="34" t="n">
        <f aca="false">IFERROR(CORREL(D6:D33,B8:B35),"n/a")</f>
        <v>0.486955337302929</v>
      </c>
      <c r="F75" s="34" t="n">
        <f aca="false">IFERROR(CORREL(D6:D32,B9:B35),"n/a")</f>
        <v>0.327897701928043</v>
      </c>
      <c r="G75" s="34" t="n">
        <f aca="false">IFERROR(CORREL(D6:D31,B10:B35),"n/a")</f>
        <v>0.313964343020603</v>
      </c>
      <c r="H75" s="34" t="n">
        <f aca="false">IFERROR(CORREL(D6:D30,B11:B35),"n/a")</f>
        <v>0.250353528409498</v>
      </c>
    </row>
    <row r="76" customFormat="false" ht="15" hidden="false" customHeight="false" outlineLevel="0" collapsed="false">
      <c r="A76" s="32" t="s">
        <v>8</v>
      </c>
      <c r="B76" s="32" t="s">
        <v>30</v>
      </c>
      <c r="C76" s="34" t="n">
        <f aca="false">IFERROR(CORREL(E6:E35,B6:B35),"n/a")</f>
        <v>0.784956710137491</v>
      </c>
      <c r="D76" s="34" t="n">
        <f aca="false">IFERROR(CORREL(E6:E34,B7:B35),"n/a")</f>
        <v>0.660452823808986</v>
      </c>
      <c r="E76" s="34" t="n">
        <f aca="false">IFERROR(CORREL(E6:E33,B8:B35),"n/a")</f>
        <v>0.584000630299717</v>
      </c>
      <c r="F76" s="34" t="n">
        <f aca="false">IFERROR(CORREL(E6:E32,B9:B35),"n/a")</f>
        <v>0.30790872332482</v>
      </c>
      <c r="G76" s="34" t="n">
        <f aca="false">IFERROR(CORREL(E6:E31,B10:B35),"n/a")</f>
        <v>0.061108414079743</v>
      </c>
      <c r="H76" s="34" t="n">
        <f aca="false">IFERROR(CORREL(E6:E30,B11:B35),"n/a")</f>
        <v>0.120547409030227</v>
      </c>
    </row>
    <row r="77" customFormat="false" ht="15" hidden="false" customHeight="false" outlineLevel="0" collapsed="false">
      <c r="A77" s="32" t="s">
        <v>8</v>
      </c>
      <c r="B77" s="32" t="s">
        <v>31</v>
      </c>
      <c r="C77" s="34" t="n">
        <f aca="false">IFERROR(CORREL(F6:F35,B6:B35),"n/a")</f>
        <v>-0.277243738885896</v>
      </c>
      <c r="D77" s="34" t="n">
        <f aca="false">IFERROR(CORREL(F6:F34,B7:B35),"n/a")</f>
        <v>-0.402554255790833</v>
      </c>
      <c r="E77" s="34" t="n">
        <f aca="false">IFERROR(CORREL(F6:F33,B8:B35),"n/a")</f>
        <v>-0.443743375057552</v>
      </c>
      <c r="F77" s="34" t="n">
        <f aca="false">IFERROR(CORREL(F6:F32,B9:B35),"n/a")</f>
        <v>-0.527687085566445</v>
      </c>
      <c r="G77" s="34" t="n">
        <f aca="false">IFERROR(CORREL(F6:F31,B10:B35),"n/a")</f>
        <v>-0.534566162804044</v>
      </c>
      <c r="H77" s="34" t="n">
        <f aca="false">IFERROR(CORREL(F6:F30,B11:B35),"n/a")</f>
        <v>-0.544420627412359</v>
      </c>
    </row>
    <row r="78" customFormat="false" ht="15" hidden="false" customHeight="false" outlineLevel="0" collapsed="false">
      <c r="A78" s="32" t="s">
        <v>8</v>
      </c>
      <c r="B78" s="32" t="s">
        <v>148</v>
      </c>
      <c r="C78" s="34" t="n">
        <f aca="false">IFERROR(CORREL(G6:G35,B6:B35),"n/a")</f>
        <v>0.316147589441603</v>
      </c>
      <c r="D78" s="34" t="n">
        <f aca="false">IFERROR(CORREL(G6:G34,B7:B35),"n/a")</f>
        <v>0.365473660427235</v>
      </c>
      <c r="E78" s="34" t="n">
        <f aca="false">IFERROR(CORREL(G6:G33,B8:B35),"n/a")</f>
        <v>0.530328658416113</v>
      </c>
      <c r="F78" s="34" t="n">
        <f aca="false">IFERROR(CORREL(G6:G32,B9:B35),"n/a")</f>
        <v>0.640284777557808</v>
      </c>
      <c r="G78" s="34" t="n">
        <f aca="false">IFERROR(CORREL(G6:G31,B10:B35),"n/a")</f>
        <v>0.806988092638511</v>
      </c>
      <c r="H78" s="34" t="n">
        <f aca="false">IFERROR(CORREL(G6:G30,B11:B35),"n/a")</f>
        <v>0.8782530181847</v>
      </c>
    </row>
    <row r="79" customFormat="false" ht="15" hidden="false" customHeight="false" outlineLevel="0" collapsed="false">
      <c r="A79" s="32" t="s">
        <v>8</v>
      </c>
      <c r="B79" s="32" t="s">
        <v>166</v>
      </c>
      <c r="C79" s="34" t="n">
        <f aca="false">IFERROR(CORREL(H6:H35,B6:B35),"n/a")</f>
        <v>0.314136100910031</v>
      </c>
      <c r="D79" s="34" t="n">
        <f aca="false">IFERROR(CORREL(H6:H34,B7:B35),"n/a")</f>
        <v>0.0969477621609403</v>
      </c>
      <c r="E79" s="34" t="n">
        <f aca="false">IFERROR(CORREL(H6:H33,B8:B35),"n/a")</f>
        <v>-0.115469568676518</v>
      </c>
      <c r="F79" s="34" t="n">
        <f aca="false">IFERROR(CORREL(H6:H32,B9:B35),"n/a")</f>
        <v>-0.27513424730128</v>
      </c>
      <c r="G79" s="34" t="n">
        <f aca="false">IFERROR(CORREL(H6:H31,B10:B35),"n/a")</f>
        <v>-0.383954470452147</v>
      </c>
      <c r="H79" s="34" t="n">
        <f aca="false">IFERROR(CORREL(H6:H30,B11:B35),"n/a")</f>
        <v>-0.412548702320733</v>
      </c>
    </row>
    <row r="81" customFormat="false" ht="15" hidden="false" customHeight="false" outlineLevel="0" collapsed="false">
      <c r="A81" s="32" t="s">
        <v>17</v>
      </c>
      <c r="B81" s="32" t="s">
        <v>165</v>
      </c>
      <c r="C81" s="34" t="n">
        <f aca="false">IFERROR(CORREL(C39:C68,B39:B68),"n/a")</f>
        <v>-0.676026179937076</v>
      </c>
      <c r="D81" s="34" t="n">
        <f aca="false">IFERROR(CORREL(C39:C67,B40:B68),"n/a")</f>
        <v>-0.62279925266976</v>
      </c>
      <c r="E81" s="34" t="n">
        <f aca="false">IFERROR(CORREL(C39:C66,B41:B68),"n/a")</f>
        <v>-0.544389841139575</v>
      </c>
      <c r="F81" s="34" t="n">
        <f aca="false">IFERROR(CORREL(C39:C65,B42:B68),"n/a")</f>
        <v>-0.486017678301786</v>
      </c>
      <c r="G81" s="34" t="n">
        <f aca="false">IFERROR(CORREL(C39:C64,B43:B68),"n/a")</f>
        <v>-0.403893836549652</v>
      </c>
      <c r="H81" s="34" t="n">
        <f aca="false">IFERROR(CORREL(C39:C63,B44:B68),"n/a")</f>
        <v>-0.296341493599951</v>
      </c>
    </row>
    <row r="82" customFormat="false" ht="15" hidden="false" customHeight="false" outlineLevel="0" collapsed="false">
      <c r="A82" s="32" t="s">
        <v>17</v>
      </c>
      <c r="B82" s="32" t="s">
        <v>29</v>
      </c>
      <c r="C82" s="34" t="n">
        <f aca="false">IFERROR(CORREL(D39:D68,B39:B68),"n/a")</f>
        <v>0.573436752686345</v>
      </c>
      <c r="D82" s="34" t="n">
        <f aca="false">IFERROR(CORREL(D39:D67,B40:B68),"n/a")</f>
        <v>0.455731410332517</v>
      </c>
      <c r="E82" s="34" t="n">
        <f aca="false">IFERROR(CORREL(D39:D66,B41:B68),"n/a")</f>
        <v>0.318356013581974</v>
      </c>
      <c r="F82" s="34" t="n">
        <f aca="false">IFERROR(CORREL(D39:D65,B42:B68),"n/a")</f>
        <v>0.233134765028377</v>
      </c>
      <c r="G82" s="34" t="n">
        <f aca="false">IFERROR(CORREL(D39:D64,B43:B68),"n/a")</f>
        <v>0.250772495620571</v>
      </c>
      <c r="H82" s="34" t="n">
        <f aca="false">IFERROR(CORREL(D39:D63,B44:B68),"n/a")</f>
        <v>0.170391078768771</v>
      </c>
    </row>
    <row r="83" customFormat="false" ht="15" hidden="false" customHeight="false" outlineLevel="0" collapsed="false">
      <c r="A83" s="32" t="s">
        <v>17</v>
      </c>
      <c r="B83" s="32" t="s">
        <v>30</v>
      </c>
      <c r="C83" s="34" t="n">
        <f aca="false">IFERROR(CORREL(E39:E68,B39:B68),"n/a")</f>
        <v>0.796681123104491</v>
      </c>
      <c r="D83" s="34" t="n">
        <f aca="false">IFERROR(CORREL(E39:E67,B40:B68),"n/a")</f>
        <v>0.536695569361717</v>
      </c>
      <c r="E83" s="34" t="n">
        <f aca="false">IFERROR(CORREL(E39:E66,B41:B68),"n/a")</f>
        <v>0.385396483130795</v>
      </c>
      <c r="F83" s="34" t="n">
        <f aca="false">IFERROR(CORREL(E39:E65,B42:B68),"n/a")</f>
        <v>0.129671470945764</v>
      </c>
      <c r="G83" s="34" t="n">
        <f aca="false">IFERROR(CORREL(E39:E64,B43:B68),"n/a")</f>
        <v>-0.0288622368760292</v>
      </c>
      <c r="H83" s="34" t="n">
        <f aca="false">IFERROR(CORREL(E39:E63,B44:B68),"n/a")</f>
        <v>0.0445825474779068</v>
      </c>
    </row>
    <row r="84" customFormat="false" ht="15" hidden="false" customHeight="false" outlineLevel="0" collapsed="false">
      <c r="A84" s="32" t="s">
        <v>17</v>
      </c>
      <c r="B84" s="32" t="s">
        <v>31</v>
      </c>
      <c r="C84" s="34" t="n">
        <f aca="false">IFERROR(CORREL(F39:F68,B39:B68),"n/a")</f>
        <v>-0.425158531272972</v>
      </c>
      <c r="D84" s="34" t="n">
        <f aca="false">IFERROR(CORREL(F39:F67,B40:B68),"n/a")</f>
        <v>-0.460017295552333</v>
      </c>
      <c r="E84" s="34" t="n">
        <f aca="false">IFERROR(CORREL(F39:F66,B41:B68),"n/a")</f>
        <v>-0.445866601807263</v>
      </c>
      <c r="F84" s="34" t="n">
        <f aca="false">IFERROR(CORREL(F39:F65,B42:B68),"n/a")</f>
        <v>-0.492676415168901</v>
      </c>
      <c r="G84" s="34" t="n">
        <f aca="false">IFERROR(CORREL(F39:F64,B43:B68),"n/a")</f>
        <v>-0.486324494108328</v>
      </c>
      <c r="H84" s="34" t="n">
        <f aca="false">IFERROR(CORREL(F39:F63,B44:B68),"n/a")</f>
        <v>-0.482510948267926</v>
      </c>
    </row>
    <row r="85" customFormat="false" ht="15" hidden="false" customHeight="false" outlineLevel="0" collapsed="false">
      <c r="A85" s="32" t="s">
        <v>17</v>
      </c>
      <c r="B85" s="32" t="s">
        <v>148</v>
      </c>
      <c r="C85" s="34" t="n">
        <f aca="false">IFERROR(CORREL(G39:G68,B39:B68),"n/a")</f>
        <v>0.304758332618356</v>
      </c>
      <c r="D85" s="34" t="n">
        <f aca="false">IFERROR(CORREL(G39:G67,B40:B68),"n/a")</f>
        <v>0.360846966734343</v>
      </c>
      <c r="E85" s="34" t="n">
        <f aca="false">IFERROR(CORREL(G39:G66,B41:B68),"n/a")</f>
        <v>0.525957927479578</v>
      </c>
      <c r="F85" s="34" t="n">
        <f aca="false">IFERROR(CORREL(G39:G65,B42:B68),"n/a")</f>
        <v>0.641842001402618</v>
      </c>
      <c r="G85" s="34" t="n">
        <f aca="false">IFERROR(CORREL(G39:G64,B43:B68),"n/a")</f>
        <v>0.800440384001349</v>
      </c>
      <c r="H85" s="34" t="n">
        <f aca="false">IFERROR(CORREL(G39:G63,B44:B68),"n/a")</f>
        <v>0.82036141862039</v>
      </c>
    </row>
    <row r="86" customFormat="false" ht="15" hidden="false" customHeight="false" outlineLevel="0" collapsed="false">
      <c r="A86" s="32" t="s">
        <v>17</v>
      </c>
      <c r="B86" s="32" t="s">
        <v>166</v>
      </c>
      <c r="C86" s="34" t="n">
        <f aca="false">IFERROR(CORREL(H39:H68,B39:B68),"n/a")</f>
        <v>0.110795042866457</v>
      </c>
      <c r="D86" s="34" t="n">
        <f aca="false">IFERROR(CORREL(H39:H67,B40:B68),"n/a")</f>
        <v>-0.131164290915367</v>
      </c>
      <c r="E86" s="34" t="n">
        <f aca="false">IFERROR(CORREL(H39:H66,B41:B68),"n/a")</f>
        <v>-0.254653276363161</v>
      </c>
      <c r="F86" s="34" t="n">
        <f aca="false">IFERROR(CORREL(H39:H65,B42:B68),"n/a")</f>
        <v>-0.317218228273506</v>
      </c>
      <c r="G86" s="34" t="n">
        <f aca="false">IFERROR(CORREL(H39:H64,B43:B68),"n/a")</f>
        <v>-0.402218493269185</v>
      </c>
      <c r="H86" s="34" t="n">
        <f aca="false">IFERROR(CORREL(H39:H63,B44:B68),"n/a")</f>
        <v>-0.452227476121105</v>
      </c>
    </row>
    <row r="89" customFormat="false" ht="15" hidden="false" customHeight="false" outlineLevel="0" collapsed="false">
      <c r="A89" s="31" t="s">
        <v>111</v>
      </c>
    </row>
    <row r="90" customFormat="false" ht="55.5" hidden="false" customHeight="true" outlineLevel="0" collapsed="false">
      <c r="A90" s="27" t="s">
        <v>175</v>
      </c>
      <c r="B90" s="27"/>
      <c r="C90" s="27"/>
      <c r="D90" s="27"/>
      <c r="E90" s="27"/>
      <c r="F90" s="27"/>
      <c r="G90" s="27"/>
      <c r="H90" s="27"/>
    </row>
    <row r="91" customFormat="false" ht="69.75" hidden="false" customHeight="true" outlineLevel="0" collapsed="false">
      <c r="A91" s="27" t="s">
        <v>176</v>
      </c>
      <c r="B91" s="27"/>
      <c r="C91" s="27"/>
      <c r="D91" s="27"/>
      <c r="E91" s="27"/>
      <c r="F91" s="27"/>
      <c r="G91" s="27"/>
      <c r="H91" s="27"/>
    </row>
    <row r="92" customFormat="false" ht="55.5" hidden="false" customHeight="true" outlineLevel="0" collapsed="false">
      <c r="A92" s="27" t="s">
        <v>177</v>
      </c>
      <c r="B92" s="27"/>
      <c r="C92" s="27"/>
      <c r="D92" s="27"/>
      <c r="E92" s="27"/>
      <c r="F92" s="27"/>
      <c r="G92" s="27"/>
      <c r="H92" s="27"/>
    </row>
    <row r="93" customFormat="false" ht="69.75" hidden="false" customHeight="true" outlineLevel="0" collapsed="false">
      <c r="A93" s="27" t="s">
        <v>178</v>
      </c>
      <c r="B93" s="27"/>
      <c r="C93" s="27"/>
      <c r="D93" s="27"/>
      <c r="E93" s="27"/>
      <c r="F93" s="27"/>
      <c r="G93" s="27"/>
      <c r="H93" s="27"/>
    </row>
    <row r="94" customFormat="false" ht="84" hidden="false" customHeight="true" outlineLevel="0" collapsed="false">
      <c r="A94" s="27" t="s">
        <v>179</v>
      </c>
      <c r="B94" s="27"/>
      <c r="C94" s="27"/>
      <c r="D94" s="27"/>
      <c r="E94" s="27"/>
      <c r="F94" s="27"/>
      <c r="G94" s="27"/>
      <c r="H94" s="27"/>
    </row>
    <row r="95" customFormat="false" ht="42" hidden="false" customHeight="true" outlineLevel="0" collapsed="false">
      <c r="A95" s="27" t="s">
        <v>180</v>
      </c>
      <c r="B95" s="27"/>
      <c r="C95" s="27"/>
      <c r="D95" s="27"/>
      <c r="E95" s="27"/>
      <c r="F95" s="27"/>
      <c r="G95" s="27"/>
      <c r="H95" s="27"/>
    </row>
    <row r="96" customFormat="false" ht="69.75" hidden="false" customHeight="true" outlineLevel="0" collapsed="false">
      <c r="A96" s="27" t="s">
        <v>181</v>
      </c>
      <c r="B96" s="27"/>
      <c r="C96" s="27"/>
      <c r="D96" s="27"/>
      <c r="E96" s="27"/>
      <c r="F96" s="27"/>
      <c r="G96" s="27"/>
      <c r="H96" s="27"/>
    </row>
    <row r="97" customFormat="false" ht="84" hidden="false" customHeight="true" outlineLevel="0" collapsed="false">
      <c r="A97" s="27" t="s">
        <v>182</v>
      </c>
      <c r="B97" s="27"/>
      <c r="C97" s="27"/>
      <c r="D97" s="27"/>
      <c r="E97" s="27"/>
      <c r="F97" s="27"/>
      <c r="G97" s="27"/>
      <c r="H97" s="27"/>
    </row>
  </sheetData>
  <mergeCells count="10">
    <mergeCell ref="A2:H2"/>
    <mergeCell ref="A71:H71"/>
    <mergeCell ref="A90:H90"/>
    <mergeCell ref="A91:H91"/>
    <mergeCell ref="A92:H92"/>
    <mergeCell ref="A93:H93"/>
    <mergeCell ref="A94:H94"/>
    <mergeCell ref="A95:H95"/>
    <mergeCell ref="A96:H96"/>
    <mergeCell ref="A97:H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2026-08-19T22:30:27Z</dcterms:created>
  <dc:creator>openpyxl</dc:creator>
  <dc:description/>
  <dc:language>en-US</dc:language>
  <cp:lastModifiedBy/>
  <dcterms:modified xsi:type="dcterms:W3CDTF">2026-08-20T03:04:30Z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