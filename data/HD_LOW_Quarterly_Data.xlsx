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Quarterly Data" sheetId="2" state="visible" r:id="rId4"/>
    <sheet name="LIRA vs Comp Correlation" sheetId="3" state="visible" r:id="rId5"/>
    <sheet name="Macro vs Comp Correlation" sheetId="4" state="visible" r:id="rId6"/>
    <sheet name="Point Estimates" sheetId="5" state="visible" r:id="rId7"/>
    <sheet name="NAICS444 vs Comp Correlation" sheetId="6" state="visible" r:id="rId8"/>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35" authorId="0">
      <text>
        <r>
          <rPr>
            <sz val="10"/>
            <rFont val="Arial"/>
            <family val="2"/>
          </rPr>
          <t xml:space="preserve">ESTIMATED date, not yet confirmed by the company -- assumes a standard 13-week quarter continuing from the last known quarter end. For reference only; not used in any calculation.</t>
        </r>
      </text>
    </comment>
    <comment ref="C36" authorId="0">
      <text>
        <r>
          <rPr>
            <sz val="10"/>
            <rFont val="Arial"/>
            <family val="2"/>
          </rPr>
          <t xml:space="preserve">ESTIMATED date, not yet confirmed by the company -- assumes a standard 13-week quarter continuing from the last known quarter end. For reference only; not used in any calculation.</t>
        </r>
      </text>
    </comment>
    <comment ref="C37" authorId="0">
      <text>
        <r>
          <rPr>
            <sz val="10"/>
            <rFont val="Arial"/>
            <family val="2"/>
          </rPr>
          <t xml:space="preserve">ESTIMATED date, not yet confirmed by the company -- assumes a standard 13-week quarter continuing from the last known quarter end. For reference only; not used in any calculation.</t>
        </r>
      </text>
    </comment>
    <comment ref="C38" authorId="0">
      <text>
        <r>
          <rPr>
            <sz val="10"/>
            <rFont val="Arial"/>
            <family val="2"/>
          </rPr>
          <t xml:space="preserve">ESTIMATED date, not yet confirmed by the company -- assumes a standard 13-week quarter continuing from the last known quarter end. For reference only; not used in any calculation.</t>
        </r>
      </text>
    </comment>
    <comment ref="C69" authorId="0">
      <text>
        <r>
          <rPr>
            <sz val="10"/>
            <rFont val="Arial"/>
            <family val="2"/>
          </rPr>
          <t xml:space="preserve">ESTIMATED date, not yet confirmed by the company -- assumes a standard 13-week quarter continuing from the last known quarter end. For reference only; not used in any calculation.</t>
        </r>
      </text>
    </comment>
    <comment ref="C70" authorId="0">
      <text>
        <r>
          <rPr>
            <sz val="10"/>
            <rFont val="Arial"/>
            <family val="2"/>
          </rPr>
          <t xml:space="preserve">ESTIMATED date, not yet confirmed by the company -- assumes a standard 13-week quarter continuing from the last known quarter end. For reference only; not used in any calculation.</t>
        </r>
      </text>
    </comment>
    <comment ref="C71" authorId="0">
      <text>
        <r>
          <rPr>
            <sz val="10"/>
            <rFont val="Arial"/>
            <family val="2"/>
          </rPr>
          <t xml:space="preserve">ESTIMATED date, not yet confirmed by the company -- assumes a standard 13-week quarter continuing from the last known quarter end. For reference only; not used in any calculation.</t>
        </r>
      </text>
    </comment>
    <comment ref="C72" authorId="0">
      <text>
        <r>
          <rPr>
            <sz val="10"/>
            <rFont val="Arial"/>
            <family val="2"/>
          </rPr>
          <t xml:space="preserve">ESTIMATED date, not yet confirmed by the company -- assumes a standard 13-week quarter continuing from the last known quarter end. For reference only; not used in any calculation.</t>
        </r>
      </text>
    </comment>
    <comment ref="L5" authorId="0">
      <text>
        <r>
          <rPr>
            <sz val="10"/>
            <rFont val="Arial"/>
            <family val="2"/>
          </rPr>
          <t xml:space="preserve">Pulled from HD_LOW_Comp_Sales.xlsx, HD tab, row 5 (as of 2026-08-20). Full detail (weeks in quarter, FX impact, Total-comp figure, revenue, methodology notes) in HD_LOW_Source_Data.xlsx.</t>
        </r>
      </text>
    </comment>
    <comment ref="L6" authorId="0">
      <text>
        <r>
          <rPr>
            <sz val="10"/>
            <rFont val="Arial"/>
            <family val="2"/>
          </rPr>
          <t xml:space="preserve">Pulled from HD_LOW_Comp_Sales.xlsx, HD tab, row 6 (as of 2026-08-20). Full detail (weeks in quarter, FX impact, Total-comp figure, revenue, methodology notes) in HD_LOW_Source_Data.xlsx.</t>
        </r>
      </text>
    </comment>
    <comment ref="L7" authorId="0">
      <text>
        <r>
          <rPr>
            <sz val="10"/>
            <rFont val="Arial"/>
            <family val="2"/>
          </rPr>
          <t xml:space="preserve">Pulled from HD_LOW_Comp_Sales.xlsx, HD tab, row 7 (as of 2026-08-20). Full detail (weeks in quarter, FX impact, Total-comp figure, revenue, methodology notes) in HD_LOW_Source_Data.xlsx.</t>
        </r>
      </text>
    </comment>
    <comment ref="L8" authorId="0">
      <text>
        <r>
          <rPr>
            <sz val="10"/>
            <rFont val="Arial"/>
            <family val="2"/>
          </rPr>
          <t xml:space="preserve">Pulled from HD_LOW_Comp_Sales.xlsx, HD tab, row 8 (as of 2026-08-20). Full detail (weeks in quarter, FX impact, Total-comp figure, revenue, methodology notes) in HD_LOW_Source_Data.xlsx.</t>
        </r>
      </text>
    </comment>
    <comment ref="L9" authorId="0">
      <text>
        <r>
          <rPr>
            <sz val="10"/>
            <rFont val="Arial"/>
            <family val="2"/>
          </rPr>
          <t xml:space="preserve">Pulled from HD_LOW_Comp_Sales.xlsx, HD tab, row 9 (as of 2026-08-20). Full detail (weeks in quarter, FX impact, Total-comp figure, revenue, methodology notes) in HD_LOW_Source_Data.xlsx.</t>
        </r>
      </text>
    </comment>
    <comment ref="L10" authorId="0">
      <text>
        <r>
          <rPr>
            <sz val="10"/>
            <rFont val="Arial"/>
            <family val="2"/>
          </rPr>
          <t xml:space="preserve">Pulled from HD_LOW_Comp_Sales.xlsx, HD tab, row 10 (as of 2026-08-20). Full detail (weeks in quarter, FX impact, Total-comp figure, revenue, methodology notes) in HD_LOW_Source_Data.xlsx.</t>
        </r>
      </text>
    </comment>
    <comment ref="L11" authorId="0">
      <text>
        <r>
          <rPr>
            <sz val="10"/>
            <rFont val="Arial"/>
            <family val="2"/>
          </rPr>
          <t xml:space="preserve">Pulled from HD_LOW_Comp_Sales.xlsx, HD tab, row 11 (as of 2026-08-20). Full detail (weeks in quarter, FX impact, Total-comp figure, revenue, methodology notes) in HD_LOW_Source_Data.xlsx.</t>
        </r>
      </text>
    </comment>
    <comment ref="L12" authorId="0">
      <text>
        <r>
          <rPr>
            <sz val="10"/>
            <rFont val="Arial"/>
            <family val="2"/>
          </rPr>
          <t xml:space="preserve">Pulled from HD_LOW_Comp_Sales.xlsx, HD tab, row 12 (as of 2026-08-20). Full detail (weeks in quarter, FX impact, Total-comp figure, revenue, methodology notes) in HD_LOW_Source_Data.xlsx.</t>
        </r>
      </text>
    </comment>
    <comment ref="L13" authorId="0">
      <text>
        <r>
          <rPr>
            <sz val="10"/>
            <rFont val="Arial"/>
            <family val="2"/>
          </rPr>
          <t xml:space="preserve">Pulled from HD_LOW_Comp_Sales.xlsx, HD tab, row 13 (as of 2026-08-20). Full detail (weeks in quarter, FX impact, Total-comp figure, revenue, methodology notes) in HD_LOW_Source_Data.xlsx.</t>
        </r>
      </text>
    </comment>
    <comment ref="L14" authorId="0">
      <text>
        <r>
          <rPr>
            <sz val="10"/>
            <rFont val="Arial"/>
            <family val="2"/>
          </rPr>
          <t xml:space="preserve">Pulled from HD_LOW_Comp_Sales.xlsx, HD tab, row 14 (as of 2026-08-20). Full detail (weeks in quarter, FX impact, Total-comp figure, revenue, methodology notes) in HD_LOW_Source_Data.xlsx.</t>
        </r>
      </text>
    </comment>
    <comment ref="L15" authorId="0">
      <text>
        <r>
          <rPr>
            <sz val="10"/>
            <rFont val="Arial"/>
            <family val="2"/>
          </rPr>
          <t xml:space="preserve">Pulled from HD_LOW_Comp_Sales.xlsx, HD tab, row 15 (as of 2026-08-20). Full detail (weeks in quarter, FX impact, Total-comp figure, revenue, methodology notes) in HD_LOW_Source_Data.xlsx.</t>
        </r>
      </text>
    </comment>
    <comment ref="L16" authorId="0">
      <text>
        <r>
          <rPr>
            <sz val="10"/>
            <rFont val="Arial"/>
            <family val="2"/>
          </rPr>
          <t xml:space="preserve">Pulled from HD_LOW_Comp_Sales.xlsx, HD tab, row 16 (as of 2026-08-20). Full detail (weeks in quarter, FX impact, Total-comp figure, revenue, methodology notes) in HD_LOW_Source_Data.xlsx.</t>
        </r>
      </text>
    </comment>
    <comment ref="L17" authorId="0">
      <text>
        <r>
          <rPr>
            <sz val="10"/>
            <rFont val="Arial"/>
            <family val="2"/>
          </rPr>
          <t xml:space="preserve">Pulled from HD_LOW_Comp_Sales.xlsx, HD tab, row 17 (as of 2026-08-20). Full detail (weeks in quarter, FX impact, Total-comp figure, revenue, methodology notes) in HD_LOW_Source_Data.xlsx.</t>
        </r>
      </text>
    </comment>
    <comment ref="L18" authorId="0">
      <text>
        <r>
          <rPr>
            <sz val="10"/>
            <rFont val="Arial"/>
            <family val="2"/>
          </rPr>
          <t xml:space="preserve">Pulled from HD_LOW_Comp_Sales.xlsx, HD tab, row 18 (as of 2026-08-20). Full detail (weeks in quarter, FX impact, Total-comp figure, revenue, methodology notes) in HD_LOW_Source_Data.xlsx.</t>
        </r>
      </text>
    </comment>
    <comment ref="L19" authorId="0">
      <text>
        <r>
          <rPr>
            <sz val="10"/>
            <rFont val="Arial"/>
            <family val="2"/>
          </rPr>
          <t xml:space="preserve">Pulled from HD_LOW_Comp_Sales.xlsx, HD tab, row 19 (as of 2026-08-20). Full detail (weeks in quarter, FX impact, Total-comp figure, revenue, methodology notes) in HD_LOW_Source_Data.xlsx.</t>
        </r>
      </text>
    </comment>
    <comment ref="L20" authorId="0">
      <text>
        <r>
          <rPr>
            <sz val="10"/>
            <rFont val="Arial"/>
            <family val="2"/>
          </rPr>
          <t xml:space="preserve">Pulled from HD_LOW_Comp_Sales.xlsx, HD tab, row 20 (as of 2026-08-20). Full detail (weeks in quarter, FX impact, Total-comp figure, revenue, methodology notes) in HD_LOW_Source_Data.xlsx.</t>
        </r>
      </text>
    </comment>
    <comment ref="L21" authorId="0">
      <text>
        <r>
          <rPr>
            <sz val="10"/>
            <rFont val="Arial"/>
            <family val="2"/>
          </rPr>
          <t xml:space="preserve">Pulled from HD_LOW_Comp_Sales.xlsx, HD tab, row 21 (as of 2026-08-20). Full detail (weeks in quarter, FX impact, Total-comp figure, revenue, methodology notes) in HD_LOW_Source_Data.xlsx.</t>
        </r>
      </text>
    </comment>
    <comment ref="L22" authorId="0">
      <text>
        <r>
          <rPr>
            <sz val="10"/>
            <rFont val="Arial"/>
            <family val="2"/>
          </rPr>
          <t xml:space="preserve">Pulled from HD_LOW_Comp_Sales.xlsx, HD tab, row 22 (as of 2026-08-20). Full detail (weeks in quarter, FX impact, Total-comp figure, revenue, methodology notes) in HD_LOW_Source_Data.xlsx.</t>
        </r>
      </text>
    </comment>
    <comment ref="L23" authorId="0">
      <text>
        <r>
          <rPr>
            <sz val="10"/>
            <rFont val="Arial"/>
            <family val="2"/>
          </rPr>
          <t xml:space="preserve">Pulled from HD_LOW_Comp_Sales.xlsx, HD tab, row 23 (as of 2026-08-20). Full detail (weeks in quarter, FX impact, Total-comp figure, revenue, methodology notes) in HD_LOW_Source_Data.xlsx.</t>
        </r>
      </text>
    </comment>
    <comment ref="L24" authorId="0">
      <text>
        <r>
          <rPr>
            <sz val="10"/>
            <rFont val="Arial"/>
            <family val="2"/>
          </rPr>
          <t xml:space="preserve">Pulled from HD_LOW_Comp_Sales.xlsx, HD tab, row 24 (as of 2026-08-20). Full detail (weeks in quarter, FX impact, Total-comp figure, revenue, methodology notes) in HD_LOW_Source_Data.xlsx.</t>
        </r>
      </text>
    </comment>
    <comment ref="L25" authorId="0">
      <text>
        <r>
          <rPr>
            <sz val="10"/>
            <rFont val="Arial"/>
            <family val="2"/>
          </rPr>
          <t xml:space="preserve">Pulled from HD_LOW_Comp_Sales.xlsx, HD tab, row 25 (as of 2026-08-20). Full detail (weeks in quarter, FX impact, Total-comp figure, revenue, methodology notes) in HD_LOW_Source_Data.xlsx.</t>
        </r>
      </text>
    </comment>
    <comment ref="L26" authorId="0">
      <text>
        <r>
          <rPr>
            <sz val="10"/>
            <rFont val="Arial"/>
            <family val="2"/>
          </rPr>
          <t xml:space="preserve">Pulled from HD_LOW_Comp_Sales.xlsx, HD tab, row 26 (as of 2026-08-20). Full detail (weeks in quarter, FX impact, Total-comp figure, revenue, methodology notes) in HD_LOW_Source_Data.xlsx.</t>
        </r>
      </text>
    </comment>
    <comment ref="L27" authorId="0">
      <text>
        <r>
          <rPr>
            <sz val="10"/>
            <rFont val="Arial"/>
            <family val="2"/>
          </rPr>
          <t xml:space="preserve">Pulled from HD_LOW_Comp_Sales.xlsx, HD tab, row 27 (as of 2026-08-20). Full detail (weeks in quarter, FX impact, Total-comp figure, revenue, methodology notes) in HD_LOW_Source_Data.xlsx.</t>
        </r>
      </text>
    </comment>
    <comment ref="L28" authorId="0">
      <text>
        <r>
          <rPr>
            <sz val="10"/>
            <rFont val="Arial"/>
            <family val="2"/>
          </rPr>
          <t xml:space="preserve">Pulled from HD_LOW_Comp_Sales.xlsx, HD tab, row 28 (as of 2026-08-20). Full detail (weeks in quarter, FX impact, Total-comp figure, revenue, methodology notes) in HD_LOW_Source_Data.xlsx.</t>
        </r>
      </text>
    </comment>
    <comment ref="L29" authorId="0">
      <text>
        <r>
          <rPr>
            <sz val="10"/>
            <rFont val="Arial"/>
            <family val="2"/>
          </rPr>
          <t xml:space="preserve">Pulled from HD_LOW_Comp_Sales.xlsx, HD tab, row 29 (as of 2026-08-20). Full detail (weeks in quarter, FX impact, Total-comp figure, revenue, methodology notes) in HD_LOW_Source_Data.xlsx.</t>
        </r>
      </text>
    </comment>
    <comment ref="L30" authorId="0">
      <text>
        <r>
          <rPr>
            <sz val="10"/>
            <rFont val="Arial"/>
            <family val="2"/>
          </rPr>
          <t xml:space="preserve">Pulled from HD_LOW_Comp_Sales.xlsx, HD tab, row 30 (as of 2026-08-20). Full detail (weeks in quarter, FX impact, Total-comp figure, revenue, methodology notes) in HD_LOW_Source_Data.xlsx.</t>
        </r>
      </text>
    </comment>
    <comment ref="L31" authorId="0">
      <text>
        <r>
          <rPr>
            <sz val="10"/>
            <rFont val="Arial"/>
            <family val="2"/>
          </rPr>
          <t xml:space="preserve">Pulled from HD_LOW_Comp_Sales.xlsx, HD tab, row 31 (as of 2026-08-20). Full detail (weeks in quarter, FX impact, Total-comp figure, revenue, methodology notes) in HD_LOW_Source_Data.xlsx.</t>
        </r>
      </text>
    </comment>
    <comment ref="L32" authorId="0">
      <text>
        <r>
          <rPr>
            <sz val="10"/>
            <rFont val="Arial"/>
            <family val="2"/>
          </rPr>
          <t xml:space="preserve">Pulled from HD_LOW_Comp_Sales.xlsx, HD tab, row 32 (as of 2026-08-20). Full detail (weeks in quarter, FX impact, Total-comp figure, revenue, methodology notes) in HD_LOW_Source_Data.xlsx.</t>
        </r>
      </text>
    </comment>
    <comment ref="L33" authorId="0">
      <text>
        <r>
          <rPr>
            <sz val="10"/>
            <rFont val="Arial"/>
            <family val="2"/>
          </rPr>
          <t xml:space="preserve">Pulled from HD_LOW_Comp_Sales.xlsx, HD tab, row 33 (as of 2026-08-20). Full detail (weeks in quarter, FX impact, Total-comp figure, revenue, methodology notes) in HD_LOW_Source_Data.xlsx.</t>
        </r>
      </text>
    </comment>
    <comment ref="L34" authorId="0">
      <text>
        <r>
          <rPr>
            <sz val="10"/>
            <rFont val="Arial"/>
            <family val="2"/>
          </rPr>
          <t xml:space="preserve">Pulled from HD_LOW_Comp_Sales.xlsx, HD tab, row 34 (as of 2026-08-20). Full detail (weeks in quarter, FX impact, Total-comp figure, revenue, methodology notes) in HD_LOW_Source_Data.xlsx.</t>
        </r>
      </text>
    </comment>
    <comment ref="L35" authorId="0">
      <text>
        <r>
          <rPr>
            <sz val="10"/>
            <rFont val="Arial"/>
            <family val="2"/>
          </rPr>
          <t xml:space="preserve">Live link to 'Point Estimates'!B13 -- the regression-based point estimate. Updates automatically if the methodology on that tab changes.</t>
        </r>
      </text>
    </comment>
    <comment ref="L36" authorId="0">
      <text>
        <r>
          <rPr>
            <sz val="10"/>
            <rFont val="Arial"/>
            <family val="2"/>
          </rPr>
          <t xml:space="preserve">Live link to 'Point Estimates'!B22 -- the regression-based point estimate. Updates automatically if the methodology on that tab changes.</t>
        </r>
      </text>
    </comment>
    <comment ref="L37" authorId="0">
      <text>
        <r>
          <rPr>
            <sz val="10"/>
            <rFont val="Arial"/>
            <family val="2"/>
          </rPr>
          <t xml:space="preserve">Live link to 'Point Estimates'!B31 -- the regression-based point estimate. Updates automatically if the methodology on that tab changes.</t>
        </r>
      </text>
    </comment>
    <comment ref="L38" authorId="0">
      <text>
        <r>
          <rPr>
            <sz val="10"/>
            <rFont val="Arial"/>
            <family val="2"/>
          </rPr>
          <t xml:space="preserve">Live link to 'Point Estimates'!B40 -- the regression-based point estimate. Updates automatically if the methodology on that tab changes.</t>
        </r>
      </text>
    </comment>
    <comment ref="L39" authorId="0">
      <text>
        <r>
          <rPr>
            <sz val="10"/>
            <rFont val="Arial"/>
            <family val="2"/>
          </rPr>
          <t xml:space="preserve">Pulled from HD_LOW_Comp_Sales.xlsx, LOW tab, row 5 (as of 2026-08-20). Full detail (weeks in quarter, FX impact, Total-comp figure, revenue, methodology notes) in HD_LOW_Source_Data.xlsx.</t>
        </r>
      </text>
    </comment>
    <comment ref="L40" authorId="0">
      <text>
        <r>
          <rPr>
            <sz val="10"/>
            <rFont val="Arial"/>
            <family val="2"/>
          </rPr>
          <t xml:space="preserve">Pulled from HD_LOW_Comp_Sales.xlsx, LOW tab, row 6 (as of 2026-08-20). Full detail (weeks in quarter, FX impact, Total-comp figure, revenue, methodology notes) in HD_LOW_Source_Data.xlsx.</t>
        </r>
      </text>
    </comment>
    <comment ref="L41" authorId="0">
      <text>
        <r>
          <rPr>
            <sz val="10"/>
            <rFont val="Arial"/>
            <family val="2"/>
          </rPr>
          <t xml:space="preserve">Pulled from HD_LOW_Comp_Sales.xlsx, LOW tab, row 7 (as of 2026-08-20). Full detail (weeks in quarter, FX impact, Total-comp figure, revenue, methodology notes) in HD_LOW_Source_Data.xlsx.</t>
        </r>
      </text>
    </comment>
    <comment ref="L42" authorId="0">
      <text>
        <r>
          <rPr>
            <sz val="10"/>
            <rFont val="Arial"/>
            <family val="2"/>
          </rPr>
          <t xml:space="preserve">Pulled from HD_LOW_Comp_Sales.xlsx, LOW tab, row 8 (as of 2026-08-20). Full detail (weeks in quarter, FX impact, Total-comp figure, revenue, methodology notes) in HD_LOW_Source_Data.xlsx.</t>
        </r>
      </text>
    </comment>
    <comment ref="L43" authorId="0">
      <text>
        <r>
          <rPr>
            <sz val="10"/>
            <rFont val="Arial"/>
            <family val="2"/>
          </rPr>
          <t xml:space="preserve">Pulled from HD_LOW_Comp_Sales.xlsx, LOW tab, row 9 (as of 2026-08-20). Full detail (weeks in quarter, FX impact, Total-comp figure, revenue, methodology notes) in HD_LOW_Source_Data.xlsx.</t>
        </r>
      </text>
    </comment>
    <comment ref="L44" authorId="0">
      <text>
        <r>
          <rPr>
            <sz val="10"/>
            <rFont val="Arial"/>
            <family val="2"/>
          </rPr>
          <t xml:space="preserve">Pulled from HD_LOW_Comp_Sales.xlsx, LOW tab, row 10 (as of 2026-08-20). Full detail (weeks in quarter, FX impact, Total-comp figure, revenue, methodology notes) in HD_LOW_Source_Data.xlsx.</t>
        </r>
      </text>
    </comment>
    <comment ref="L45" authorId="0">
      <text>
        <r>
          <rPr>
            <sz val="10"/>
            <rFont val="Arial"/>
            <family val="2"/>
          </rPr>
          <t xml:space="preserve">Pulled from HD_LOW_Comp_Sales.xlsx, LOW tab, row 11 (as of 2026-08-20). Full detail (weeks in quarter, FX impact, Total-comp figure, revenue, methodology notes) in HD_LOW_Source_Data.xlsx.</t>
        </r>
      </text>
    </comment>
    <comment ref="L46" authorId="0">
      <text>
        <r>
          <rPr>
            <sz val="10"/>
            <rFont val="Arial"/>
            <family val="2"/>
          </rPr>
          <t xml:space="preserve">Pulled from HD_LOW_Comp_Sales.xlsx, LOW tab, row 12 (as of 2026-08-20). Full detail (weeks in quarter, FX impact, Total-comp figure, revenue, methodology notes) in HD_LOW_Source_Data.xlsx.</t>
        </r>
      </text>
    </comment>
    <comment ref="L47" authorId="0">
      <text>
        <r>
          <rPr>
            <sz val="10"/>
            <rFont val="Arial"/>
            <family val="2"/>
          </rPr>
          <t xml:space="preserve">Pulled from HD_LOW_Comp_Sales.xlsx, LOW tab, row 13 (as of 2026-08-20). Full detail (weeks in quarter, FX impact, Total-comp figure, revenue, methodology notes) in HD_LOW_Source_Data.xlsx.</t>
        </r>
      </text>
    </comment>
    <comment ref="L48" authorId="0">
      <text>
        <r>
          <rPr>
            <sz val="10"/>
            <rFont val="Arial"/>
            <family val="2"/>
          </rPr>
          <t xml:space="preserve">Pulled from HD_LOW_Comp_Sales.xlsx, LOW tab, row 14 (as of 2026-08-20). Full detail (weeks in quarter, FX impact, Total-comp figure, revenue, methodology notes) in HD_LOW_Source_Data.xlsx.</t>
        </r>
      </text>
    </comment>
    <comment ref="L49" authorId="0">
      <text>
        <r>
          <rPr>
            <sz val="10"/>
            <rFont val="Arial"/>
            <family val="2"/>
          </rPr>
          <t xml:space="preserve">Pulled from HD_LOW_Comp_Sales.xlsx, LOW tab, row 15 (as of 2026-08-20). Full detail (weeks in quarter, FX impact, Total-comp figure, revenue, methodology notes) in HD_LOW_Source_Data.xlsx.</t>
        </r>
      </text>
    </comment>
    <comment ref="L50" authorId="0">
      <text>
        <r>
          <rPr>
            <sz val="10"/>
            <rFont val="Arial"/>
            <family val="2"/>
          </rPr>
          <t xml:space="preserve">Pulled from HD_LOW_Comp_Sales.xlsx, LOW tab, row 16 (as of 2026-08-20). Full detail (weeks in quarter, FX impact, Total-comp figure, revenue, methodology notes) in HD_LOW_Source_Data.xlsx.</t>
        </r>
      </text>
    </comment>
    <comment ref="L51" authorId="0">
      <text>
        <r>
          <rPr>
            <sz val="10"/>
            <rFont val="Arial"/>
            <family val="2"/>
          </rPr>
          <t xml:space="preserve">Pulled from HD_LOW_Comp_Sales.xlsx, LOW tab, row 17 (as of 2026-08-20). Full detail (weeks in quarter, FX impact, Total-comp figure, revenue, methodology notes) in HD_LOW_Source_Data.xlsx.</t>
        </r>
      </text>
    </comment>
    <comment ref="L52" authorId="0">
      <text>
        <r>
          <rPr>
            <sz val="10"/>
            <rFont val="Arial"/>
            <family val="2"/>
          </rPr>
          <t xml:space="preserve">Pulled from HD_LOW_Comp_Sales.xlsx, LOW tab, row 18 (as of 2026-08-20). Full detail (weeks in quarter, FX impact, Total-comp figure, revenue, methodology notes) in HD_LOW_Source_Data.xlsx.</t>
        </r>
      </text>
    </comment>
    <comment ref="L53" authorId="0">
      <text>
        <r>
          <rPr>
            <sz val="10"/>
            <rFont val="Arial"/>
            <family val="2"/>
          </rPr>
          <t xml:space="preserve">Pulled from HD_LOW_Comp_Sales.xlsx, LOW tab, row 19 (as of 2026-08-20). Full detail (weeks in quarter, FX impact, Total-comp figure, revenue, methodology notes) in HD_LOW_Source_Data.xlsx.</t>
        </r>
      </text>
    </comment>
    <comment ref="L54" authorId="0">
      <text>
        <r>
          <rPr>
            <sz val="10"/>
            <rFont val="Arial"/>
            <family val="2"/>
          </rPr>
          <t xml:space="preserve">Pulled from HD_LOW_Comp_Sales.xlsx, LOW tab, row 20 (as of 2026-08-20). Full detail (weeks in quarter, FX impact, Total-comp figure, revenue, methodology notes) in HD_LOW_Source_Data.xlsx.</t>
        </r>
      </text>
    </comment>
    <comment ref="L55" authorId="0">
      <text>
        <r>
          <rPr>
            <sz val="10"/>
            <rFont val="Arial"/>
            <family val="2"/>
          </rPr>
          <t xml:space="preserve">Pulled from HD_LOW_Comp_Sales.xlsx, LOW tab, row 21 (as of 2026-08-20). Full detail (weeks in quarter, FX impact, Total-comp figure, revenue, methodology notes) in HD_LOW_Source_Data.xlsx.</t>
        </r>
      </text>
    </comment>
    <comment ref="L56" authorId="0">
      <text>
        <r>
          <rPr>
            <sz val="10"/>
            <rFont val="Arial"/>
            <family val="2"/>
          </rPr>
          <t xml:space="preserve">Pulled from HD_LOW_Comp_Sales.xlsx, LOW tab, row 22 (as of 2026-08-20). Full detail (weeks in quarter, FX impact, Total-comp figure, revenue, methodology notes) in HD_LOW_Source_Data.xlsx.</t>
        </r>
      </text>
    </comment>
    <comment ref="L57" authorId="0">
      <text>
        <r>
          <rPr>
            <sz val="10"/>
            <rFont val="Arial"/>
            <family val="2"/>
          </rPr>
          <t xml:space="preserve">Pulled from HD_LOW_Comp_Sales.xlsx, LOW tab, row 23 (as of 2026-08-20). Full detail (weeks in quarter, FX impact, Total-comp figure, revenue, methodology notes) in HD_LOW_Source_Data.xlsx.</t>
        </r>
      </text>
    </comment>
    <comment ref="L58" authorId="0">
      <text>
        <r>
          <rPr>
            <sz val="10"/>
            <rFont val="Arial"/>
            <family val="2"/>
          </rPr>
          <t xml:space="preserve">Pulled from HD_LOW_Comp_Sales.xlsx, LOW tab, row 24 (as of 2026-08-20). Full detail (weeks in quarter, FX impact, Total-comp figure, revenue, methodology notes) in HD_LOW_Source_Data.xlsx.</t>
        </r>
      </text>
    </comment>
    <comment ref="L59" authorId="0">
      <text>
        <r>
          <rPr>
            <sz val="10"/>
            <rFont val="Arial"/>
            <family val="2"/>
          </rPr>
          <t xml:space="preserve">Pulled from HD_LOW_Comp_Sales.xlsx, LOW tab, row 25 (as of 2026-08-20). Full detail (weeks in quarter, FX impact, Total-comp figure, revenue, methodology notes) in HD_LOW_Source_Data.xlsx.</t>
        </r>
      </text>
    </comment>
    <comment ref="L60" authorId="0">
      <text>
        <r>
          <rPr>
            <sz val="10"/>
            <rFont val="Arial"/>
            <family val="2"/>
          </rPr>
          <t xml:space="preserve">Pulled from HD_LOW_Comp_Sales.xlsx, LOW tab, row 26 (as of 2026-08-20). Full detail (weeks in quarter, FX impact, Total-comp figure, revenue, methodology notes) in HD_LOW_Source_Data.xlsx.</t>
        </r>
      </text>
    </comment>
    <comment ref="L61" authorId="0">
      <text>
        <r>
          <rPr>
            <sz val="10"/>
            <rFont val="Arial"/>
            <family val="2"/>
          </rPr>
          <t xml:space="preserve">Pulled from HD_LOW_Comp_Sales.xlsx, LOW tab, row 27 (as of 2026-08-20). Full detail (weeks in quarter, FX impact, Total-comp figure, revenue, methodology notes) in HD_LOW_Source_Data.xlsx.</t>
        </r>
      </text>
    </comment>
    <comment ref="L62" authorId="0">
      <text>
        <r>
          <rPr>
            <sz val="10"/>
            <rFont val="Arial"/>
            <family val="2"/>
          </rPr>
          <t xml:space="preserve">Pulled from HD_LOW_Comp_Sales.xlsx, LOW tab, row 28 (as of 2026-08-20). Full detail (weeks in quarter, FX impact, Total-comp figure, revenue, methodology notes) in HD_LOW_Source_Data.xlsx.</t>
        </r>
      </text>
    </comment>
    <comment ref="L63" authorId="0">
      <text>
        <r>
          <rPr>
            <sz val="10"/>
            <rFont val="Arial"/>
            <family val="2"/>
          </rPr>
          <t xml:space="preserve">Pulled from HD_LOW_Comp_Sales.xlsx, LOW tab, row 29 (as of 2026-08-20). Full detail (weeks in quarter, FX impact, Total-comp figure, revenue, methodology notes) in HD_LOW_Source_Data.xlsx.</t>
        </r>
      </text>
    </comment>
    <comment ref="L64" authorId="0">
      <text>
        <r>
          <rPr>
            <sz val="10"/>
            <rFont val="Arial"/>
            <family val="2"/>
          </rPr>
          <t xml:space="preserve">Pulled from HD_LOW_Comp_Sales.xlsx, LOW tab, row 30 (as of 2026-08-20). Full detail (weeks in quarter, FX impact, Total-comp figure, revenue, methodology notes) in HD_LOW_Source_Data.xlsx.</t>
        </r>
      </text>
    </comment>
    <comment ref="L65" authorId="0">
      <text>
        <r>
          <rPr>
            <sz val="10"/>
            <rFont val="Arial"/>
            <family val="2"/>
          </rPr>
          <t xml:space="preserve">Pulled from HD_LOW_Comp_Sales.xlsx, LOW tab, row 31 (as of 2026-08-20). Full detail (weeks in quarter, FX impact, Total-comp figure, revenue, methodology notes) in HD_LOW_Source_Data.xlsx.</t>
        </r>
      </text>
    </comment>
    <comment ref="L66" authorId="0">
      <text>
        <r>
          <rPr>
            <sz val="10"/>
            <rFont val="Arial"/>
            <family val="2"/>
          </rPr>
          <t xml:space="preserve">Pulled from HD_LOW_Comp_Sales.xlsx, LOW tab, row 32 (as of 2026-08-20). Full detail (weeks in quarter, FX impact, Total-comp figure, revenue, methodology notes) in HD_LOW_Source_Data.xlsx.</t>
        </r>
      </text>
    </comment>
    <comment ref="L67" authorId="0">
      <text>
        <r>
          <rPr>
            <sz val="10"/>
            <rFont val="Arial"/>
            <family val="2"/>
          </rPr>
          <t xml:space="preserve">Pulled from HD_LOW_Comp_Sales.xlsx, LOW tab, row 33 (as of 2026-08-20). Full detail (weeks in quarter, FX impact, Total-comp figure, revenue, methodology notes) in HD_LOW_Source_Data.xlsx.</t>
        </r>
      </text>
    </comment>
    <comment ref="L68" authorId="0">
      <text>
        <r>
          <rPr>
            <sz val="10"/>
            <rFont val="Arial"/>
            <family val="2"/>
          </rPr>
          <t xml:space="preserve">Pulled from HD_LOW_Comp_Sales.xlsx, LOW tab, row 34 (as of 2026-08-20). Full detail (weeks in quarter, FX impact, Total-comp figure, revenue, methodology notes) in HD_LOW_Source_Data.xlsx.</t>
        </r>
      </text>
    </comment>
    <comment ref="L69" authorId="0">
      <text>
        <r>
          <rPr>
            <sz val="10"/>
            <rFont val="Arial"/>
            <family val="2"/>
          </rPr>
          <t xml:space="preserve">Live link to 'Point Estimates'!B52 -- the regression-based point estimate. Updates automatically if the methodology on that tab changes.</t>
        </r>
      </text>
    </comment>
    <comment ref="L70" authorId="0">
      <text>
        <r>
          <rPr>
            <sz val="10"/>
            <rFont val="Arial"/>
            <family val="2"/>
          </rPr>
          <t xml:space="preserve">Live link to 'Point Estimates'!B61 -- the regression-based point estimate. Updates automatically if the methodology on that tab changes.</t>
        </r>
      </text>
    </comment>
    <comment ref="L71" authorId="0">
      <text>
        <r>
          <rPr>
            <sz val="10"/>
            <rFont val="Arial"/>
            <family val="2"/>
          </rPr>
          <t xml:space="preserve">Live link to 'Point Estimates'!B70 -- the regression-based point estimate. Updates automatically if the methodology on that tab changes.</t>
        </r>
      </text>
    </comment>
    <comment ref="L72" authorId="0">
      <text>
        <r>
          <rPr>
            <sz val="10"/>
            <rFont val="Arial"/>
            <family val="2"/>
          </rPr>
          <t xml:space="preserve">Live link to 'Point Estimates'!B79 -- the regression-based point estimate. Updates automatically if the methodology on that tab changes.</t>
        </r>
      </text>
    </comment>
    <comment ref="M5" authorId="0">
      <text>
        <r>
          <rPr>
            <sz val="10"/>
            <rFont val="Arial"/>
            <family val="2"/>
          </rPr>
          <t xml:space="preserve">Pulled from NAICS444_Daily_Quarterly_Aggregation.xlsx, Quarterly tab, row 5.</t>
        </r>
      </text>
    </comment>
    <comment ref="M6" authorId="0">
      <text>
        <r>
          <rPr>
            <sz val="10"/>
            <rFont val="Arial"/>
            <family val="2"/>
          </rPr>
          <t xml:space="preserve">Pulled from NAICS444_Daily_Quarterly_Aggregation.xlsx, Quarterly tab, row 6.</t>
        </r>
      </text>
    </comment>
    <comment ref="M7" authorId="0">
      <text>
        <r>
          <rPr>
            <sz val="10"/>
            <rFont val="Arial"/>
            <family val="2"/>
          </rPr>
          <t xml:space="preserve">Pulled from NAICS444_Daily_Quarterly_Aggregation.xlsx, Quarterly tab, row 7.</t>
        </r>
      </text>
    </comment>
    <comment ref="M8" authorId="0">
      <text>
        <r>
          <rPr>
            <sz val="10"/>
            <rFont val="Arial"/>
            <family val="2"/>
          </rPr>
          <t xml:space="preserve">Pulled from NAICS444_Daily_Quarterly_Aggregation.xlsx, Quarterly tab, row 8.</t>
        </r>
      </text>
    </comment>
    <comment ref="M9" authorId="0">
      <text>
        <r>
          <rPr>
            <sz val="10"/>
            <rFont val="Arial"/>
            <family val="2"/>
          </rPr>
          <t xml:space="preserve">Pulled from NAICS444_Daily_Quarterly_Aggregation.xlsx, Quarterly tab, row 9.</t>
        </r>
      </text>
    </comment>
    <comment ref="M10" authorId="0">
      <text>
        <r>
          <rPr>
            <sz val="10"/>
            <rFont val="Arial"/>
            <family val="2"/>
          </rPr>
          <t xml:space="preserve">Pulled from NAICS444_Daily_Quarterly_Aggregation.xlsx, Quarterly tab, row 10.</t>
        </r>
      </text>
    </comment>
    <comment ref="M11" authorId="0">
      <text>
        <r>
          <rPr>
            <sz val="10"/>
            <rFont val="Arial"/>
            <family val="2"/>
          </rPr>
          <t xml:space="preserve">Pulled from NAICS444_Daily_Quarterly_Aggregation.xlsx, Quarterly tab, row 11.</t>
        </r>
      </text>
    </comment>
    <comment ref="M12" authorId="0">
      <text>
        <r>
          <rPr>
            <sz val="10"/>
            <rFont val="Arial"/>
            <family val="2"/>
          </rPr>
          <t xml:space="preserve">Pulled from NAICS444_Daily_Quarterly_Aggregation.xlsx, Quarterly tab, row 12.</t>
        </r>
      </text>
    </comment>
    <comment ref="M13" authorId="0">
      <text>
        <r>
          <rPr>
            <sz val="10"/>
            <rFont val="Arial"/>
            <family val="2"/>
          </rPr>
          <t xml:space="preserve">Pulled from NAICS444_Daily_Quarterly_Aggregation.xlsx, Quarterly tab, row 13.</t>
        </r>
      </text>
    </comment>
    <comment ref="M14" authorId="0">
      <text>
        <r>
          <rPr>
            <sz val="10"/>
            <rFont val="Arial"/>
            <family val="2"/>
          </rPr>
          <t xml:space="preserve">Pulled from NAICS444_Daily_Quarterly_Aggregation.xlsx, Quarterly tab, row 14.</t>
        </r>
      </text>
    </comment>
    <comment ref="M15" authorId="0">
      <text>
        <r>
          <rPr>
            <sz val="10"/>
            <rFont val="Arial"/>
            <family val="2"/>
          </rPr>
          <t xml:space="preserve">Pulled from NAICS444_Daily_Quarterly_Aggregation.xlsx, Quarterly tab, row 15.</t>
        </r>
      </text>
    </comment>
    <comment ref="M16" authorId="0">
      <text>
        <r>
          <rPr>
            <sz val="10"/>
            <rFont val="Arial"/>
            <family val="2"/>
          </rPr>
          <t xml:space="preserve">Pulled from NAICS444_Daily_Quarterly_Aggregation.xlsx, Quarterly tab, row 16.</t>
        </r>
      </text>
    </comment>
    <comment ref="M17" authorId="0">
      <text>
        <r>
          <rPr>
            <sz val="10"/>
            <rFont val="Arial"/>
            <family val="2"/>
          </rPr>
          <t xml:space="preserve">Pulled from NAICS444_Daily_Quarterly_Aggregation.xlsx, Quarterly tab, row 17.</t>
        </r>
      </text>
    </comment>
    <comment ref="M18" authorId="0">
      <text>
        <r>
          <rPr>
            <sz val="10"/>
            <rFont val="Arial"/>
            <family val="2"/>
          </rPr>
          <t xml:space="preserve">Pulled from NAICS444_Daily_Quarterly_Aggregation.xlsx, Quarterly tab, row 18.</t>
        </r>
      </text>
    </comment>
    <comment ref="M19" authorId="0">
      <text>
        <r>
          <rPr>
            <sz val="10"/>
            <rFont val="Arial"/>
            <family val="2"/>
          </rPr>
          <t xml:space="preserve">Pulled from NAICS444_Daily_Quarterly_Aggregation.xlsx, Quarterly tab, row 19.</t>
        </r>
      </text>
    </comment>
    <comment ref="M20" authorId="0">
      <text>
        <r>
          <rPr>
            <sz val="10"/>
            <rFont val="Arial"/>
            <family val="2"/>
          </rPr>
          <t xml:space="preserve">Pulled from NAICS444_Daily_Quarterly_Aggregation.xlsx, Quarterly tab, row 20.</t>
        </r>
      </text>
    </comment>
    <comment ref="M21" authorId="0">
      <text>
        <r>
          <rPr>
            <sz val="10"/>
            <rFont val="Arial"/>
            <family val="2"/>
          </rPr>
          <t xml:space="preserve">Pulled from NAICS444_Daily_Quarterly_Aggregation.xlsx, Quarterly tab, row 21.</t>
        </r>
      </text>
    </comment>
    <comment ref="M22" authorId="0">
      <text>
        <r>
          <rPr>
            <sz val="10"/>
            <rFont val="Arial"/>
            <family val="2"/>
          </rPr>
          <t xml:space="preserve">Pulled from NAICS444_Daily_Quarterly_Aggregation.xlsx, Quarterly tab, row 22.</t>
        </r>
      </text>
    </comment>
    <comment ref="M23" authorId="0">
      <text>
        <r>
          <rPr>
            <sz val="10"/>
            <rFont val="Arial"/>
            <family val="2"/>
          </rPr>
          <t xml:space="preserve">Pulled from NAICS444_Daily_Quarterly_Aggregation.xlsx, Quarterly tab, row 23.</t>
        </r>
      </text>
    </comment>
    <comment ref="M24" authorId="0">
      <text>
        <r>
          <rPr>
            <sz val="10"/>
            <rFont val="Arial"/>
            <family val="2"/>
          </rPr>
          <t xml:space="preserve">Pulled from NAICS444_Daily_Quarterly_Aggregation.xlsx, Quarterly tab, row 24.</t>
        </r>
      </text>
    </comment>
    <comment ref="M25" authorId="0">
      <text>
        <r>
          <rPr>
            <sz val="10"/>
            <rFont val="Arial"/>
            <family val="2"/>
          </rPr>
          <t xml:space="preserve">Pulled from NAICS444_Daily_Quarterly_Aggregation.xlsx, Quarterly tab, row 25.</t>
        </r>
      </text>
    </comment>
    <comment ref="M26" authorId="0">
      <text>
        <r>
          <rPr>
            <sz val="10"/>
            <rFont val="Arial"/>
            <family val="2"/>
          </rPr>
          <t xml:space="preserve">Pulled from NAICS444_Daily_Quarterly_Aggregation.xlsx, Quarterly tab, row 26.</t>
        </r>
      </text>
    </comment>
    <comment ref="M27" authorId="0">
      <text>
        <r>
          <rPr>
            <sz val="10"/>
            <rFont val="Arial"/>
            <family val="2"/>
          </rPr>
          <t xml:space="preserve">Pulled from NAICS444_Daily_Quarterly_Aggregation.xlsx, Quarterly tab, row 27.</t>
        </r>
      </text>
    </comment>
    <comment ref="M28" authorId="0">
      <text>
        <r>
          <rPr>
            <sz val="10"/>
            <rFont val="Arial"/>
            <family val="2"/>
          </rPr>
          <t xml:space="preserve">Pulled from NAICS444_Daily_Quarterly_Aggregation.xlsx, Quarterly tab, row 28.</t>
        </r>
      </text>
    </comment>
    <comment ref="M29" authorId="0">
      <text>
        <r>
          <rPr>
            <sz val="10"/>
            <rFont val="Arial"/>
            <family val="2"/>
          </rPr>
          <t xml:space="preserve">Pulled from NAICS444_Daily_Quarterly_Aggregation.xlsx, Quarterly tab, row 29.</t>
        </r>
      </text>
    </comment>
    <comment ref="M30" authorId="0">
      <text>
        <r>
          <rPr>
            <sz val="10"/>
            <rFont val="Arial"/>
            <family val="2"/>
          </rPr>
          <t xml:space="preserve">Pulled from NAICS444_Daily_Quarterly_Aggregation.xlsx, Quarterly tab, row 30.</t>
        </r>
      </text>
    </comment>
    <comment ref="M31" authorId="0">
      <text>
        <r>
          <rPr>
            <sz val="10"/>
            <rFont val="Arial"/>
            <family val="2"/>
          </rPr>
          <t xml:space="preserve">Pulled from NAICS444_Daily_Quarterly_Aggregation.xlsx, Quarterly tab, row 31.</t>
        </r>
      </text>
    </comment>
    <comment ref="M32" authorId="0">
      <text>
        <r>
          <rPr>
            <sz val="10"/>
            <rFont val="Arial"/>
            <family val="2"/>
          </rPr>
          <t xml:space="preserve">Pulled from NAICS444_Daily_Quarterly_Aggregation.xlsx, Quarterly tab, row 32.</t>
        </r>
      </text>
    </comment>
    <comment ref="M33" authorId="0">
      <text>
        <r>
          <rPr>
            <sz val="10"/>
            <rFont val="Arial"/>
            <family val="2"/>
          </rPr>
          <t xml:space="preserve">Pulled from NAICS444_Daily_Quarterly_Aggregation.xlsx, Quarterly tab, row 33.</t>
        </r>
      </text>
    </comment>
    <comment ref="M34" authorId="0">
      <text>
        <r>
          <rPr>
            <sz val="10"/>
            <rFont val="Arial"/>
            <family val="2"/>
          </rPr>
          <t xml:space="preserve">Pulled from NAICS444_Daily_Quarterly_Aggregation.xlsx, Quarterly tab, row 34.</t>
        </r>
      </text>
    </comment>
    <comment ref="M39" authorId="0">
      <text>
        <r>
          <rPr>
            <sz val="10"/>
            <rFont val="Arial"/>
            <family val="2"/>
          </rPr>
          <t xml:space="preserve">Pulled from NAICS444_Daily_Quarterly_Aggregation.xlsx, Quarterly tab, row 35.</t>
        </r>
      </text>
    </comment>
    <comment ref="M40" authorId="0">
      <text>
        <r>
          <rPr>
            <sz val="10"/>
            <rFont val="Arial"/>
            <family val="2"/>
          </rPr>
          <t xml:space="preserve">Pulled from NAICS444_Daily_Quarterly_Aggregation.xlsx, Quarterly tab, row 36.</t>
        </r>
      </text>
    </comment>
    <comment ref="M41" authorId="0">
      <text>
        <r>
          <rPr>
            <sz val="10"/>
            <rFont val="Arial"/>
            <family val="2"/>
          </rPr>
          <t xml:space="preserve">Pulled from NAICS444_Daily_Quarterly_Aggregation.xlsx, Quarterly tab, row 37.</t>
        </r>
      </text>
    </comment>
    <comment ref="M42" authorId="0">
      <text>
        <r>
          <rPr>
            <sz val="10"/>
            <rFont val="Arial"/>
            <family val="2"/>
          </rPr>
          <t xml:space="preserve">Pulled from NAICS444_Daily_Quarterly_Aggregation.xlsx, Quarterly tab, row 38.</t>
        </r>
      </text>
    </comment>
    <comment ref="M43" authorId="0">
      <text>
        <r>
          <rPr>
            <sz val="10"/>
            <rFont val="Arial"/>
            <family val="2"/>
          </rPr>
          <t xml:space="preserve">Pulled from NAICS444_Daily_Quarterly_Aggregation.xlsx, Quarterly tab, row 39.</t>
        </r>
      </text>
    </comment>
    <comment ref="M44" authorId="0">
      <text>
        <r>
          <rPr>
            <sz val="10"/>
            <rFont val="Arial"/>
            <family val="2"/>
          </rPr>
          <t xml:space="preserve">Pulled from NAICS444_Daily_Quarterly_Aggregation.xlsx, Quarterly tab, row 40.</t>
        </r>
      </text>
    </comment>
    <comment ref="M45" authorId="0">
      <text>
        <r>
          <rPr>
            <sz val="10"/>
            <rFont val="Arial"/>
            <family val="2"/>
          </rPr>
          <t xml:space="preserve">Pulled from NAICS444_Daily_Quarterly_Aggregation.xlsx, Quarterly tab, row 41.</t>
        </r>
      </text>
    </comment>
    <comment ref="M46" authorId="0">
      <text>
        <r>
          <rPr>
            <sz val="10"/>
            <rFont val="Arial"/>
            <family val="2"/>
          </rPr>
          <t xml:space="preserve">Pulled from NAICS444_Daily_Quarterly_Aggregation.xlsx, Quarterly tab, row 42.</t>
        </r>
      </text>
    </comment>
    <comment ref="M47" authorId="0">
      <text>
        <r>
          <rPr>
            <sz val="10"/>
            <rFont val="Arial"/>
            <family val="2"/>
          </rPr>
          <t xml:space="preserve">Pulled from NAICS444_Daily_Quarterly_Aggregation.xlsx, Quarterly tab, row 43.</t>
        </r>
      </text>
    </comment>
    <comment ref="M48" authorId="0">
      <text>
        <r>
          <rPr>
            <sz val="10"/>
            <rFont val="Arial"/>
            <family val="2"/>
          </rPr>
          <t xml:space="preserve">Pulled from NAICS444_Daily_Quarterly_Aggregation.xlsx, Quarterly tab, row 44.</t>
        </r>
      </text>
    </comment>
    <comment ref="M49" authorId="0">
      <text>
        <r>
          <rPr>
            <sz val="10"/>
            <rFont val="Arial"/>
            <family val="2"/>
          </rPr>
          <t xml:space="preserve">Pulled from NAICS444_Daily_Quarterly_Aggregation.xlsx, Quarterly tab, row 45.</t>
        </r>
      </text>
    </comment>
    <comment ref="M50" authorId="0">
      <text>
        <r>
          <rPr>
            <sz val="10"/>
            <rFont val="Arial"/>
            <family val="2"/>
          </rPr>
          <t xml:space="preserve">Pulled from NAICS444_Daily_Quarterly_Aggregation.xlsx, Quarterly tab, row 46.</t>
        </r>
      </text>
    </comment>
    <comment ref="M51" authorId="0">
      <text>
        <r>
          <rPr>
            <sz val="10"/>
            <rFont val="Arial"/>
            <family val="2"/>
          </rPr>
          <t xml:space="preserve">Pulled from NAICS444_Daily_Quarterly_Aggregation.xlsx, Quarterly tab, row 47.</t>
        </r>
      </text>
    </comment>
    <comment ref="M52" authorId="0">
      <text>
        <r>
          <rPr>
            <sz val="10"/>
            <rFont val="Arial"/>
            <family val="2"/>
          </rPr>
          <t xml:space="preserve">Pulled from NAICS444_Daily_Quarterly_Aggregation.xlsx, Quarterly tab, row 48.</t>
        </r>
      </text>
    </comment>
    <comment ref="M53" authorId="0">
      <text>
        <r>
          <rPr>
            <sz val="10"/>
            <rFont val="Arial"/>
            <family val="2"/>
          </rPr>
          <t xml:space="preserve">Pulled from NAICS444_Daily_Quarterly_Aggregation.xlsx, Quarterly tab, row 49.</t>
        </r>
      </text>
    </comment>
    <comment ref="M54" authorId="0">
      <text>
        <r>
          <rPr>
            <sz val="10"/>
            <rFont val="Arial"/>
            <family val="2"/>
          </rPr>
          <t xml:space="preserve">Pulled from NAICS444_Daily_Quarterly_Aggregation.xlsx, Quarterly tab, row 50.</t>
        </r>
      </text>
    </comment>
    <comment ref="M55" authorId="0">
      <text>
        <r>
          <rPr>
            <sz val="10"/>
            <rFont val="Arial"/>
            <family val="2"/>
          </rPr>
          <t xml:space="preserve">Pulled from NAICS444_Daily_Quarterly_Aggregation.xlsx, Quarterly tab, row 51.</t>
        </r>
      </text>
    </comment>
    <comment ref="M56" authorId="0">
      <text>
        <r>
          <rPr>
            <sz val="10"/>
            <rFont val="Arial"/>
            <family val="2"/>
          </rPr>
          <t xml:space="preserve">Pulled from NAICS444_Daily_Quarterly_Aggregation.xlsx, Quarterly tab, row 52.</t>
        </r>
      </text>
    </comment>
    <comment ref="M57" authorId="0">
      <text>
        <r>
          <rPr>
            <sz val="10"/>
            <rFont val="Arial"/>
            <family val="2"/>
          </rPr>
          <t xml:space="preserve">Pulled from NAICS444_Daily_Quarterly_Aggregation.xlsx, Quarterly tab, row 53.</t>
        </r>
      </text>
    </comment>
    <comment ref="M58" authorId="0">
      <text>
        <r>
          <rPr>
            <sz val="10"/>
            <rFont val="Arial"/>
            <family val="2"/>
          </rPr>
          <t xml:space="preserve">Pulled from NAICS444_Daily_Quarterly_Aggregation.xlsx, Quarterly tab, row 54.</t>
        </r>
      </text>
    </comment>
    <comment ref="M59" authorId="0">
      <text>
        <r>
          <rPr>
            <sz val="10"/>
            <rFont val="Arial"/>
            <family val="2"/>
          </rPr>
          <t xml:space="preserve">Pulled from NAICS444_Daily_Quarterly_Aggregation.xlsx, Quarterly tab, row 55.</t>
        </r>
      </text>
    </comment>
    <comment ref="M60" authorId="0">
      <text>
        <r>
          <rPr>
            <sz val="10"/>
            <rFont val="Arial"/>
            <family val="2"/>
          </rPr>
          <t xml:space="preserve">Pulled from NAICS444_Daily_Quarterly_Aggregation.xlsx, Quarterly tab, row 56.</t>
        </r>
      </text>
    </comment>
    <comment ref="M61" authorId="0">
      <text>
        <r>
          <rPr>
            <sz val="10"/>
            <rFont val="Arial"/>
            <family val="2"/>
          </rPr>
          <t xml:space="preserve">Pulled from NAICS444_Daily_Quarterly_Aggregation.xlsx, Quarterly tab, row 57.</t>
        </r>
      </text>
    </comment>
    <comment ref="M62" authorId="0">
      <text>
        <r>
          <rPr>
            <sz val="10"/>
            <rFont val="Arial"/>
            <family val="2"/>
          </rPr>
          <t xml:space="preserve">Pulled from NAICS444_Daily_Quarterly_Aggregation.xlsx, Quarterly tab, row 58.</t>
        </r>
      </text>
    </comment>
    <comment ref="M63" authorId="0">
      <text>
        <r>
          <rPr>
            <sz val="10"/>
            <rFont val="Arial"/>
            <family val="2"/>
          </rPr>
          <t xml:space="preserve">Pulled from NAICS444_Daily_Quarterly_Aggregation.xlsx, Quarterly tab, row 59.</t>
        </r>
      </text>
    </comment>
    <comment ref="M64" authorId="0">
      <text>
        <r>
          <rPr>
            <sz val="10"/>
            <rFont val="Arial"/>
            <family val="2"/>
          </rPr>
          <t xml:space="preserve">Pulled from NAICS444_Daily_Quarterly_Aggregation.xlsx, Quarterly tab, row 60.</t>
        </r>
      </text>
    </comment>
    <comment ref="M65" authorId="0">
      <text>
        <r>
          <rPr>
            <sz val="10"/>
            <rFont val="Arial"/>
            <family val="2"/>
          </rPr>
          <t xml:space="preserve">Pulled from NAICS444_Daily_Quarterly_Aggregation.xlsx, Quarterly tab, row 61.</t>
        </r>
      </text>
    </comment>
    <comment ref="M66" authorId="0">
      <text>
        <r>
          <rPr>
            <sz val="10"/>
            <rFont val="Arial"/>
            <family val="2"/>
          </rPr>
          <t xml:space="preserve">Pulled from NAICS444_Daily_Quarterly_Aggregation.xlsx, Quarterly tab, row 62.</t>
        </r>
      </text>
    </comment>
    <comment ref="M67" authorId="0">
      <text>
        <r>
          <rPr>
            <sz val="10"/>
            <rFont val="Arial"/>
            <family val="2"/>
          </rPr>
          <t xml:space="preserve">Pulled from NAICS444_Daily_Quarterly_Aggregation.xlsx, Quarterly tab, row 63.</t>
        </r>
      </text>
    </comment>
    <comment ref="M68" authorId="0">
      <text>
        <r>
          <rPr>
            <sz val="10"/>
            <rFont val="Arial"/>
            <family val="2"/>
          </rPr>
          <t xml:space="preserve">Pulled from NAICS444_Daily_Quarterly_Aggregation.xlsx, Quarterly tab, row 64.</t>
        </r>
      </text>
    </comment>
    <comment ref="N23" authorId="0">
      <text>
        <r>
          <rPr>
            <sz val="10"/>
            <rFont val="Arial"/>
            <family val="2"/>
          </rPr>
          <t xml:space="preserve">Harvard JCHS LIRA quarter 2023-Q3 (Historical), simple label-mapped to Q3 FY2023. See LIRA vs Comp Correlation tab for the (weak) measured relationship with comps.</t>
        </r>
      </text>
    </comment>
    <comment ref="N24" authorId="0">
      <text>
        <r>
          <rPr>
            <sz val="10"/>
            <rFont val="Arial"/>
            <family val="2"/>
          </rPr>
          <t xml:space="preserve">Harvard JCHS LIRA quarter 2023-Q4 (Historical), simple label-mapped to Q4 FY2023. See LIRA vs Comp Correlation tab for the (weak) measured relationship with comps.</t>
        </r>
      </text>
    </comment>
    <comment ref="N25" authorId="0">
      <text>
        <r>
          <rPr>
            <sz val="10"/>
            <rFont val="Arial"/>
            <family val="2"/>
          </rPr>
          <t xml:space="preserve">Harvard JCHS LIRA quarter 2024-Q1 (Historical), simple label-mapped to Q1 FY2024. See LIRA vs Comp Correlation tab for the (weak) measured relationship with comps.</t>
        </r>
      </text>
    </comment>
    <comment ref="N26" authorId="0">
      <text>
        <r>
          <rPr>
            <sz val="10"/>
            <rFont val="Arial"/>
            <family val="2"/>
          </rPr>
          <t xml:space="preserve">Harvard JCHS LIRA quarter 2024-Q2 (Historical), simple label-mapped to Q2 FY2024. See LIRA vs Comp Correlation tab for the (weak) measured relationship with comps.</t>
        </r>
      </text>
    </comment>
    <comment ref="N27" authorId="0">
      <text>
        <r>
          <rPr>
            <sz val="10"/>
            <rFont val="Arial"/>
            <family val="2"/>
          </rPr>
          <t xml:space="preserve">Harvard JCHS LIRA quarter 2024-Q3 (Historical), simple label-mapped to Q3 FY2024. See LIRA vs Comp Correlation tab for the (weak) measured relationship with comps.</t>
        </r>
      </text>
    </comment>
    <comment ref="N28" authorId="0">
      <text>
        <r>
          <rPr>
            <sz val="10"/>
            <rFont val="Arial"/>
            <family val="2"/>
          </rPr>
          <t xml:space="preserve">Harvard JCHS LIRA quarter 2024-Q4 (Historical), simple label-mapped to Q4 FY2024. See LIRA vs Comp Correlation tab for the (weak) measured relationship with comps.</t>
        </r>
      </text>
    </comment>
    <comment ref="N29" authorId="0">
      <text>
        <r>
          <rPr>
            <sz val="10"/>
            <rFont val="Arial"/>
            <family val="2"/>
          </rPr>
          <t xml:space="preserve">Harvard JCHS LIRA quarter 2025-Q1 (Historical), simple label-mapped to Q1 FY2025. See LIRA vs Comp Correlation tab for the (weak) measured relationship with comps.</t>
        </r>
      </text>
    </comment>
    <comment ref="N30" authorId="0">
      <text>
        <r>
          <rPr>
            <sz val="10"/>
            <rFont val="Arial"/>
            <family val="2"/>
          </rPr>
          <t xml:space="preserve">Harvard JCHS LIRA quarter 2025-Q2 (Historical), simple label-mapped to Q2 FY2025. See LIRA vs Comp Correlation tab for the (weak) measured relationship with comps.</t>
        </r>
      </text>
    </comment>
    <comment ref="N31" authorId="0">
      <text>
        <r>
          <rPr>
            <sz val="10"/>
            <rFont val="Arial"/>
            <family val="2"/>
          </rPr>
          <t xml:space="preserve">Harvard JCHS LIRA quarter 2025-Q3 (Historical), simple label-mapped to Q3 FY2025. See LIRA vs Comp Correlation tab for the (weak) measured relationship with comps.</t>
        </r>
      </text>
    </comment>
    <comment ref="N32" authorId="0">
      <text>
        <r>
          <rPr>
            <sz val="10"/>
            <rFont val="Arial"/>
            <family val="2"/>
          </rPr>
          <t xml:space="preserve">Harvard JCHS LIRA quarter 2025-Q4 (Historical), simple label-mapped to Q4 FY2025. See LIRA vs Comp Correlation tab for the (weak) measured relationship with comps.</t>
        </r>
      </text>
    </comment>
    <comment ref="N33" authorId="0">
      <text>
        <r>
          <rPr>
            <sz val="10"/>
            <rFont val="Arial"/>
            <family val="2"/>
          </rPr>
          <t xml:space="preserve">Harvard JCHS LIRA quarter 2026-Q1 (Historical), simple label-mapped to Q1 FY2026. See LIRA vs Comp Correlation tab for the (weak) measured relationship with comps.</t>
        </r>
      </text>
    </comment>
    <comment ref="N34" authorId="0">
      <text>
        <r>
          <rPr>
            <sz val="10"/>
            <rFont val="Arial"/>
            <family val="2"/>
          </rPr>
          <t xml:space="preserve">Harvard JCHS LIRA quarter 2026-Q2 (Historical), simple label-mapped to Q2 FY2026. See LIRA vs Comp Correlation tab for the (weak) measured relationship with comps.</t>
        </r>
      </text>
    </comment>
    <comment ref="N35" authorId="0">
      <text>
        <r>
          <rPr>
            <sz val="10"/>
            <rFont val="Arial"/>
            <family val="2"/>
          </rPr>
          <t xml:space="preserve">Harvard JCHS LIRA's own projection for this quarter (simple label-mapped). See LIRA vs Comp Correlation tab for the (weak) measured relationship with comps.</t>
        </r>
      </text>
    </comment>
    <comment ref="N36" authorId="0">
      <text>
        <r>
          <rPr>
            <sz val="10"/>
            <rFont val="Arial"/>
            <family val="2"/>
          </rPr>
          <t xml:space="preserve">Harvard JCHS LIRA's own projection for this quarter (simple label-mapped). See LIRA vs Comp Correlation tab for the (weak) measured relationship with comps.</t>
        </r>
      </text>
    </comment>
    <comment ref="N37" authorId="0">
      <text>
        <r>
          <rPr>
            <sz val="10"/>
            <rFont val="Arial"/>
            <family val="2"/>
          </rPr>
          <t xml:space="preserve">Harvard JCHS LIRA's own projection for this quarter (simple label-mapped). See LIRA vs Comp Correlation tab for the (weak) measured relationship with comps.</t>
        </r>
      </text>
    </comment>
    <comment ref="N38" authorId="0">
      <text>
        <r>
          <rPr>
            <sz val="10"/>
            <rFont val="Arial"/>
            <family val="2"/>
          </rPr>
          <t xml:space="preserve">Harvard JCHS LIRA's own projection for this quarter (simple label-mapped). See LIRA vs Comp Correlation tab for the (weak) measured relationship with comps.</t>
        </r>
      </text>
    </comment>
    <comment ref="N57" authorId="0">
      <text>
        <r>
          <rPr>
            <sz val="10"/>
            <rFont val="Arial"/>
            <family val="2"/>
          </rPr>
          <t xml:space="preserve">Harvard JCHS LIRA quarter 2023-Q3 (Historical), simple label-mapped to Q3 FY2023. See LIRA vs Comp Correlation tab for the (weak) measured relationship with comps.</t>
        </r>
      </text>
    </comment>
    <comment ref="N58" authorId="0">
      <text>
        <r>
          <rPr>
            <sz val="10"/>
            <rFont val="Arial"/>
            <family val="2"/>
          </rPr>
          <t xml:space="preserve">Harvard JCHS LIRA quarter 2023-Q4 (Historical), simple label-mapped to Q4 FY2023. See LIRA vs Comp Correlation tab for the (weak) measured relationship with comps.</t>
        </r>
      </text>
    </comment>
    <comment ref="N59" authorId="0">
      <text>
        <r>
          <rPr>
            <sz val="10"/>
            <rFont val="Arial"/>
            <family val="2"/>
          </rPr>
          <t xml:space="preserve">Harvard JCHS LIRA quarter 2024-Q1 (Historical), simple label-mapped to Q1 FY2024. See LIRA vs Comp Correlation tab for the (weak) measured relationship with comps.</t>
        </r>
      </text>
    </comment>
    <comment ref="N60" authorId="0">
      <text>
        <r>
          <rPr>
            <sz val="10"/>
            <rFont val="Arial"/>
            <family val="2"/>
          </rPr>
          <t xml:space="preserve">Harvard JCHS LIRA quarter 2024-Q2 (Historical), simple label-mapped to Q2 FY2024. See LIRA vs Comp Correlation tab for the (weak) measured relationship with comps.</t>
        </r>
      </text>
    </comment>
    <comment ref="N61" authorId="0">
      <text>
        <r>
          <rPr>
            <sz val="10"/>
            <rFont val="Arial"/>
            <family val="2"/>
          </rPr>
          <t xml:space="preserve">Harvard JCHS LIRA quarter 2024-Q3 (Historical), simple label-mapped to Q3 FY2024. See LIRA vs Comp Correlation tab for the (weak) measured relationship with comps.</t>
        </r>
      </text>
    </comment>
    <comment ref="N62" authorId="0">
      <text>
        <r>
          <rPr>
            <sz val="10"/>
            <rFont val="Arial"/>
            <family val="2"/>
          </rPr>
          <t xml:space="preserve">Harvard JCHS LIRA quarter 2024-Q4 (Historical), simple label-mapped to Q4 FY2024. See LIRA vs Comp Correlation tab for the (weak) measured relationship with comps.</t>
        </r>
      </text>
    </comment>
    <comment ref="N63" authorId="0">
      <text>
        <r>
          <rPr>
            <sz val="10"/>
            <rFont val="Arial"/>
            <family val="2"/>
          </rPr>
          <t xml:space="preserve">Harvard JCHS LIRA quarter 2025-Q1 (Historical), simple label-mapped to Q1 FY2025. See LIRA vs Comp Correlation tab for the (weak) measured relationship with comps.</t>
        </r>
      </text>
    </comment>
    <comment ref="N64" authorId="0">
      <text>
        <r>
          <rPr>
            <sz val="10"/>
            <rFont val="Arial"/>
            <family val="2"/>
          </rPr>
          <t xml:space="preserve">Harvard JCHS LIRA quarter 2025-Q2 (Historical), simple label-mapped to Q2 FY2025. See LIRA vs Comp Correlation tab for the (weak) measured relationship with comps.</t>
        </r>
      </text>
    </comment>
    <comment ref="N65" authorId="0">
      <text>
        <r>
          <rPr>
            <sz val="10"/>
            <rFont val="Arial"/>
            <family val="2"/>
          </rPr>
          <t xml:space="preserve">Harvard JCHS LIRA quarter 2025-Q3 (Historical), simple label-mapped to Q3 FY2025. See LIRA vs Comp Correlation tab for the (weak) measured relationship with comps.</t>
        </r>
      </text>
    </comment>
    <comment ref="N66" authorId="0">
      <text>
        <r>
          <rPr>
            <sz val="10"/>
            <rFont val="Arial"/>
            <family val="2"/>
          </rPr>
          <t xml:space="preserve">Harvard JCHS LIRA quarter 2025-Q4 (Historical), simple label-mapped to Q4 FY2025. See LIRA vs Comp Correlation tab for the (weak) measured relationship with comps.</t>
        </r>
      </text>
    </comment>
    <comment ref="N67" authorId="0">
      <text>
        <r>
          <rPr>
            <sz val="10"/>
            <rFont val="Arial"/>
            <family val="2"/>
          </rPr>
          <t xml:space="preserve">Harvard JCHS LIRA quarter 2026-Q1 (Historical), simple label-mapped to Q1 FY2026. See LIRA vs Comp Correlation tab for the (weak) measured relationship with comps.</t>
        </r>
      </text>
    </comment>
    <comment ref="N68" authorId="0">
      <text>
        <r>
          <rPr>
            <sz val="10"/>
            <rFont val="Arial"/>
            <family val="2"/>
          </rPr>
          <t xml:space="preserve">Harvard JCHS LIRA quarter 2026-Q2 (Historical), simple label-mapped to Q2 FY2026. See LIRA vs Comp Correlation tab for the (weak) measured relationship with comps.</t>
        </r>
      </text>
    </comment>
    <comment ref="N69" authorId="0">
      <text>
        <r>
          <rPr>
            <sz val="10"/>
            <rFont val="Arial"/>
            <family val="2"/>
          </rPr>
          <t xml:space="preserve">Harvard JCHS LIRA's own projection for this quarter (simple label-mapped). See LIRA vs Comp Correlation tab for the (weak) measured relationship with comps.</t>
        </r>
      </text>
    </comment>
    <comment ref="N70" authorId="0">
      <text>
        <r>
          <rPr>
            <sz val="10"/>
            <rFont val="Arial"/>
            <family val="2"/>
          </rPr>
          <t xml:space="preserve">Harvard JCHS LIRA's own projection for this quarter (simple label-mapped). See LIRA vs Comp Correlation tab for the (weak) measured relationship with comps.</t>
        </r>
      </text>
    </comment>
    <comment ref="N71" authorId="0">
      <text>
        <r>
          <rPr>
            <sz val="10"/>
            <rFont val="Arial"/>
            <family val="2"/>
          </rPr>
          <t xml:space="preserve">Harvard JCHS LIRA's own projection for this quarter (simple label-mapped). See LIRA vs Comp Correlation tab for the (weak) measured relationship with comps.</t>
        </r>
      </text>
    </comment>
    <comment ref="N72" authorId="0">
      <text>
        <r>
          <rPr>
            <sz val="10"/>
            <rFont val="Arial"/>
            <family val="2"/>
          </rPr>
          <t xml:space="preserve">Harvard JCHS LIRA's own projection for this quarter (simple label-mapped). See LIRA vs Comp Correlation tab for the (weak) measured relationship with comps.</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F5" authorId="0">
      <text>
        <r>
          <rPr>
            <sz val="10"/>
            <rFont val="Arial"/>
            <family val="2"/>
          </rPr>
          <t xml:space="preserve">Pulled from HD_LOW_Comp_Sales.xlsx, HD tab, row 23 (mapped from LIRA quarter 2023-Q3 -&gt; Q3 FY2023), as of 2026-08-20.</t>
        </r>
      </text>
    </comment>
    <comment ref="F6" authorId="0">
      <text>
        <r>
          <rPr>
            <sz val="10"/>
            <rFont val="Arial"/>
            <family val="2"/>
          </rPr>
          <t xml:space="preserve">Pulled from HD_LOW_Comp_Sales.xlsx, HD tab, row 24 (mapped from LIRA quarter 2023-Q4 -&gt; Q4 FY2023), as of 2026-08-20.</t>
        </r>
      </text>
    </comment>
    <comment ref="F7" authorId="0">
      <text>
        <r>
          <rPr>
            <sz val="10"/>
            <rFont val="Arial"/>
            <family val="2"/>
          </rPr>
          <t xml:space="preserve">Pulled from HD_LOW_Comp_Sales.xlsx, HD tab, row 25 (mapped from LIRA quarter 2024-Q1 -&gt; Q1 FY2024), as of 2026-08-20.</t>
        </r>
      </text>
    </comment>
    <comment ref="F8" authorId="0">
      <text>
        <r>
          <rPr>
            <sz val="10"/>
            <rFont val="Arial"/>
            <family val="2"/>
          </rPr>
          <t xml:space="preserve">Pulled from HD_LOW_Comp_Sales.xlsx, HD tab, row 26 (mapped from LIRA quarter 2024-Q2 -&gt; Q2 FY2024), as of 2026-08-20.</t>
        </r>
      </text>
    </comment>
    <comment ref="F9" authorId="0">
      <text>
        <r>
          <rPr>
            <sz val="10"/>
            <rFont val="Arial"/>
            <family val="2"/>
          </rPr>
          <t xml:space="preserve">Pulled from HD_LOW_Comp_Sales.xlsx, HD tab, row 27 (mapped from LIRA quarter 2024-Q3 -&gt; Q3 FY2024), as of 2026-08-20.</t>
        </r>
      </text>
    </comment>
    <comment ref="F10" authorId="0">
      <text>
        <r>
          <rPr>
            <sz val="10"/>
            <rFont val="Arial"/>
            <family val="2"/>
          </rPr>
          <t xml:space="preserve">Pulled from HD_LOW_Comp_Sales.xlsx, HD tab, row 28 (mapped from LIRA quarter 2024-Q4 -&gt; Q4 FY2024), as of 2026-08-20.</t>
        </r>
      </text>
    </comment>
    <comment ref="F11" authorId="0">
      <text>
        <r>
          <rPr>
            <sz val="10"/>
            <rFont val="Arial"/>
            <family val="2"/>
          </rPr>
          <t xml:space="preserve">Pulled from HD_LOW_Comp_Sales.xlsx, HD tab, row 29 (mapped from LIRA quarter 2025-Q1 -&gt; Q1 FY2025), as of 2026-08-20.</t>
        </r>
      </text>
    </comment>
    <comment ref="F12" authorId="0">
      <text>
        <r>
          <rPr>
            <sz val="10"/>
            <rFont val="Arial"/>
            <family val="2"/>
          </rPr>
          <t xml:space="preserve">Pulled from HD_LOW_Comp_Sales.xlsx, HD tab, row 30 (mapped from LIRA quarter 2025-Q2 -&gt; Q2 FY2025), as of 2026-08-20.</t>
        </r>
      </text>
    </comment>
    <comment ref="F13" authorId="0">
      <text>
        <r>
          <rPr>
            <sz val="10"/>
            <rFont val="Arial"/>
            <family val="2"/>
          </rPr>
          <t xml:space="preserve">Pulled from HD_LOW_Comp_Sales.xlsx, HD tab, row 31 (mapped from LIRA quarter 2025-Q3 -&gt; Q3 FY2025), as of 2026-08-20.</t>
        </r>
      </text>
    </comment>
    <comment ref="F14" authorId="0">
      <text>
        <r>
          <rPr>
            <sz val="10"/>
            <rFont val="Arial"/>
            <family val="2"/>
          </rPr>
          <t xml:space="preserve">Pulled from HD_LOW_Comp_Sales.xlsx, HD tab, row 32 (mapped from LIRA quarter 2025-Q4 -&gt; Q4 FY2025), as of 2026-08-20.</t>
        </r>
      </text>
    </comment>
    <comment ref="F15" authorId="0">
      <text>
        <r>
          <rPr>
            <sz val="10"/>
            <rFont val="Arial"/>
            <family val="2"/>
          </rPr>
          <t xml:space="preserve">Pulled from HD_LOW_Comp_Sales.xlsx, HD tab, row 33 (mapped from LIRA quarter 2026-Q1 -&gt; Q1 FY2026), as of 2026-08-20.</t>
        </r>
      </text>
    </comment>
    <comment ref="F16" authorId="0">
      <text>
        <r>
          <rPr>
            <sz val="10"/>
            <rFont val="Arial"/>
            <family val="2"/>
          </rPr>
          <t xml:space="preserve">Pulled from HD_LOW_Comp_Sales.xlsx, HD tab, row 34 (mapped from LIRA quarter 2026-Q2 -&gt; Q2 FY2026), as of 2026-08-20.</t>
        </r>
      </text>
    </comment>
    <comment ref="G5" authorId="0">
      <text>
        <r>
          <rPr>
            <sz val="10"/>
            <rFont val="Arial"/>
            <family val="2"/>
          </rPr>
          <t xml:space="preserve">Pulled from HD_LOW_Comp_Sales.xlsx, LOW tab, row 23 (mapped from LIRA quarter 2023-Q3 -&gt; Q3 FY2023), as of 2026-08-20.</t>
        </r>
      </text>
    </comment>
    <comment ref="G6" authorId="0">
      <text>
        <r>
          <rPr>
            <sz val="10"/>
            <rFont val="Arial"/>
            <family val="2"/>
          </rPr>
          <t xml:space="preserve">Pulled from HD_LOW_Comp_Sales.xlsx, LOW tab, row 24 (mapped from LIRA quarter 2023-Q4 -&gt; Q4 FY2023), as of 2026-08-20.</t>
        </r>
      </text>
    </comment>
    <comment ref="G7" authorId="0">
      <text>
        <r>
          <rPr>
            <sz val="10"/>
            <rFont val="Arial"/>
            <family val="2"/>
          </rPr>
          <t xml:space="preserve">Pulled from HD_LOW_Comp_Sales.xlsx, LOW tab, row 25 (mapped from LIRA quarter 2024-Q1 -&gt; Q1 FY2024), as of 2026-08-20.</t>
        </r>
      </text>
    </comment>
    <comment ref="G8" authorId="0">
      <text>
        <r>
          <rPr>
            <sz val="10"/>
            <rFont val="Arial"/>
            <family val="2"/>
          </rPr>
          <t xml:space="preserve">Pulled from HD_LOW_Comp_Sales.xlsx, LOW tab, row 26 (mapped from LIRA quarter 2024-Q2 -&gt; Q2 FY2024), as of 2026-08-20.</t>
        </r>
      </text>
    </comment>
    <comment ref="G9" authorId="0">
      <text>
        <r>
          <rPr>
            <sz val="10"/>
            <rFont val="Arial"/>
            <family val="2"/>
          </rPr>
          <t xml:space="preserve">Pulled from HD_LOW_Comp_Sales.xlsx, LOW tab, row 27 (mapped from LIRA quarter 2024-Q3 -&gt; Q3 FY2024), as of 2026-08-20.</t>
        </r>
      </text>
    </comment>
    <comment ref="G10" authorId="0">
      <text>
        <r>
          <rPr>
            <sz val="10"/>
            <rFont val="Arial"/>
            <family val="2"/>
          </rPr>
          <t xml:space="preserve">Pulled from HD_LOW_Comp_Sales.xlsx, LOW tab, row 28 (mapped from LIRA quarter 2024-Q4 -&gt; Q4 FY2024), as of 2026-08-20.</t>
        </r>
      </text>
    </comment>
    <comment ref="G11" authorId="0">
      <text>
        <r>
          <rPr>
            <sz val="10"/>
            <rFont val="Arial"/>
            <family val="2"/>
          </rPr>
          <t xml:space="preserve">Pulled from HD_LOW_Comp_Sales.xlsx, LOW tab, row 29 (mapped from LIRA quarter 2025-Q1 -&gt; Q1 FY2025), as of 2026-08-20.</t>
        </r>
      </text>
    </comment>
    <comment ref="G12" authorId="0">
      <text>
        <r>
          <rPr>
            <sz val="10"/>
            <rFont val="Arial"/>
            <family val="2"/>
          </rPr>
          <t xml:space="preserve">Pulled from HD_LOW_Comp_Sales.xlsx, LOW tab, row 30 (mapped from LIRA quarter 2025-Q2 -&gt; Q2 FY2025), as of 2026-08-20.</t>
        </r>
      </text>
    </comment>
    <comment ref="G13" authorId="0">
      <text>
        <r>
          <rPr>
            <sz val="10"/>
            <rFont val="Arial"/>
            <family val="2"/>
          </rPr>
          <t xml:space="preserve">Pulled from HD_LOW_Comp_Sales.xlsx, LOW tab, row 31 (mapped from LIRA quarter 2025-Q3 -&gt; Q3 FY2025), as of 2026-08-20.</t>
        </r>
      </text>
    </comment>
    <comment ref="G14" authorId="0">
      <text>
        <r>
          <rPr>
            <sz val="10"/>
            <rFont val="Arial"/>
            <family val="2"/>
          </rPr>
          <t xml:space="preserve">Pulled from HD_LOW_Comp_Sales.xlsx, LOW tab, row 32 (mapped from LIRA quarter 2025-Q4 -&gt; Q4 FY2025), as of 2026-08-20.</t>
        </r>
      </text>
    </comment>
    <comment ref="G15" authorId="0">
      <text>
        <r>
          <rPr>
            <sz val="10"/>
            <rFont val="Arial"/>
            <family val="2"/>
          </rPr>
          <t xml:space="preserve">Pulled from HD_LOW_Comp_Sales.xlsx, LOW tab, row 33 (mapped from LIRA quarter 2026-Q1 -&gt; Q1 FY2026), as of 2026-08-20.</t>
        </r>
      </text>
    </comment>
    <comment ref="G16" authorId="0">
      <text>
        <r>
          <rPr>
            <sz val="10"/>
            <rFont val="Arial"/>
            <family val="2"/>
          </rPr>
          <t xml:space="preserve">Pulled from HD_LOW_Comp_Sales.xlsx, LOW tab, row 34 (mapped from LIRA quarter 2026-Q2 -&gt; Q2 FY2026), as of 2026-08-20.</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B6" authorId="0">
      <text>
        <r>
          <rPr>
            <sz val="10"/>
            <rFont val="Arial"/>
            <family val="2"/>
          </rPr>
          <t xml:space="preserve">Pulled from HD_LOW_Comp_Sales.xlsx, HD tab, row 5, Comp Sales % (US) column, as of 2026-08-20.</t>
        </r>
      </text>
    </comment>
    <comment ref="B7" authorId="0">
      <text>
        <r>
          <rPr>
            <sz val="10"/>
            <rFont val="Arial"/>
            <family val="2"/>
          </rPr>
          <t xml:space="preserve">Pulled from HD_LOW_Comp_Sales.xlsx, HD tab, row 6, Comp Sales % (US) column, as of 2026-08-20.</t>
        </r>
      </text>
    </comment>
    <comment ref="B8" authorId="0">
      <text>
        <r>
          <rPr>
            <sz val="10"/>
            <rFont val="Arial"/>
            <family val="2"/>
          </rPr>
          <t xml:space="preserve">Pulled from HD_LOW_Comp_Sales.xlsx, HD tab, row 7, Comp Sales % (US) column, as of 2026-08-20.</t>
        </r>
      </text>
    </comment>
    <comment ref="B9" authorId="0">
      <text>
        <r>
          <rPr>
            <sz val="10"/>
            <rFont val="Arial"/>
            <family val="2"/>
          </rPr>
          <t xml:space="preserve">Pulled from HD_LOW_Comp_Sales.xlsx, HD tab, row 8, Comp Sales % (US) column, as of 2026-08-20.</t>
        </r>
      </text>
    </comment>
    <comment ref="B10" authorId="0">
      <text>
        <r>
          <rPr>
            <sz val="10"/>
            <rFont val="Arial"/>
            <family val="2"/>
          </rPr>
          <t xml:space="preserve">Pulled from HD_LOW_Comp_Sales.xlsx, HD tab, row 9, Comp Sales % (US) column, as of 2026-08-20.</t>
        </r>
      </text>
    </comment>
    <comment ref="B11" authorId="0">
      <text>
        <r>
          <rPr>
            <sz val="10"/>
            <rFont val="Arial"/>
            <family val="2"/>
          </rPr>
          <t xml:space="preserve">Pulled from HD_LOW_Comp_Sales.xlsx, HD tab, row 10, Comp Sales % (US) column, as of 2026-08-20.</t>
        </r>
      </text>
    </comment>
    <comment ref="B12" authorId="0">
      <text>
        <r>
          <rPr>
            <sz val="10"/>
            <rFont val="Arial"/>
            <family val="2"/>
          </rPr>
          <t xml:space="preserve">Pulled from HD_LOW_Comp_Sales.xlsx, HD tab, row 11, Comp Sales % (US) column, as of 2026-08-20.</t>
        </r>
      </text>
    </comment>
    <comment ref="B13" authorId="0">
      <text>
        <r>
          <rPr>
            <sz val="10"/>
            <rFont val="Arial"/>
            <family val="2"/>
          </rPr>
          <t xml:space="preserve">Pulled from HD_LOW_Comp_Sales.xlsx, HD tab, row 12, Comp Sales % (US) column, as of 2026-08-20.</t>
        </r>
      </text>
    </comment>
    <comment ref="B14" authorId="0">
      <text>
        <r>
          <rPr>
            <sz val="10"/>
            <rFont val="Arial"/>
            <family val="2"/>
          </rPr>
          <t xml:space="preserve">Pulled from HD_LOW_Comp_Sales.xlsx, HD tab, row 13, Comp Sales % (US) column, as of 2026-08-20.</t>
        </r>
      </text>
    </comment>
    <comment ref="B15" authorId="0">
      <text>
        <r>
          <rPr>
            <sz val="10"/>
            <rFont val="Arial"/>
            <family val="2"/>
          </rPr>
          <t xml:space="preserve">Pulled from HD_LOW_Comp_Sales.xlsx, HD tab, row 14, Comp Sales % (US) column, as of 2026-08-20.</t>
        </r>
      </text>
    </comment>
    <comment ref="B16" authorId="0">
      <text>
        <r>
          <rPr>
            <sz val="10"/>
            <rFont val="Arial"/>
            <family val="2"/>
          </rPr>
          <t xml:space="preserve">Pulled from HD_LOW_Comp_Sales.xlsx, HD tab, row 15, Comp Sales % (US) column, as of 2026-08-20.</t>
        </r>
      </text>
    </comment>
    <comment ref="B17" authorId="0">
      <text>
        <r>
          <rPr>
            <sz val="10"/>
            <rFont val="Arial"/>
            <family val="2"/>
          </rPr>
          <t xml:space="preserve">Pulled from HD_LOW_Comp_Sales.xlsx, HD tab, row 16, Comp Sales % (US) column, as of 2026-08-20.</t>
        </r>
      </text>
    </comment>
    <comment ref="B18" authorId="0">
      <text>
        <r>
          <rPr>
            <sz val="10"/>
            <rFont val="Arial"/>
            <family val="2"/>
          </rPr>
          <t xml:space="preserve">Pulled from HD_LOW_Comp_Sales.xlsx, HD tab, row 17, Comp Sales % (US) column, as of 2026-08-20.</t>
        </r>
      </text>
    </comment>
    <comment ref="B19" authorId="0">
      <text>
        <r>
          <rPr>
            <sz val="10"/>
            <rFont val="Arial"/>
            <family val="2"/>
          </rPr>
          <t xml:space="preserve">Pulled from HD_LOW_Comp_Sales.xlsx, HD tab, row 18, Comp Sales % (US) column, as of 2026-08-20.</t>
        </r>
      </text>
    </comment>
    <comment ref="B20" authorId="0">
      <text>
        <r>
          <rPr>
            <sz val="10"/>
            <rFont val="Arial"/>
            <family val="2"/>
          </rPr>
          <t xml:space="preserve">Pulled from HD_LOW_Comp_Sales.xlsx, HD tab, row 19, Comp Sales % (US) column, as of 2026-08-20.</t>
        </r>
      </text>
    </comment>
    <comment ref="B21" authorId="0">
      <text>
        <r>
          <rPr>
            <sz val="10"/>
            <rFont val="Arial"/>
            <family val="2"/>
          </rPr>
          <t xml:space="preserve">Pulled from HD_LOW_Comp_Sales.xlsx, HD tab, row 20, Comp Sales % (US) column, as of 2026-08-20.</t>
        </r>
      </text>
    </comment>
    <comment ref="B22" authorId="0">
      <text>
        <r>
          <rPr>
            <sz val="10"/>
            <rFont val="Arial"/>
            <family val="2"/>
          </rPr>
          <t xml:space="preserve">Pulled from HD_LOW_Comp_Sales.xlsx, HD tab, row 21, Comp Sales % (US) column, as of 2026-08-20.</t>
        </r>
      </text>
    </comment>
    <comment ref="B23" authorId="0">
      <text>
        <r>
          <rPr>
            <sz val="10"/>
            <rFont val="Arial"/>
            <family val="2"/>
          </rPr>
          <t xml:space="preserve">Pulled from HD_LOW_Comp_Sales.xlsx, HD tab, row 22, Comp Sales % (US) column, as of 2026-08-20.</t>
        </r>
      </text>
    </comment>
    <comment ref="B24" authorId="0">
      <text>
        <r>
          <rPr>
            <sz val="10"/>
            <rFont val="Arial"/>
            <family val="2"/>
          </rPr>
          <t xml:space="preserve">Pulled from HD_LOW_Comp_Sales.xlsx, HD tab, row 23, Comp Sales % (US) column, as of 2026-08-20.</t>
        </r>
      </text>
    </comment>
    <comment ref="B25" authorId="0">
      <text>
        <r>
          <rPr>
            <sz val="10"/>
            <rFont val="Arial"/>
            <family val="2"/>
          </rPr>
          <t xml:space="preserve">Pulled from HD_LOW_Comp_Sales.xlsx, HD tab, row 24, Comp Sales % (US) column, as of 2026-08-20.</t>
        </r>
      </text>
    </comment>
    <comment ref="B26" authorId="0">
      <text>
        <r>
          <rPr>
            <sz val="10"/>
            <rFont val="Arial"/>
            <family val="2"/>
          </rPr>
          <t xml:space="preserve">Pulled from HD_LOW_Comp_Sales.xlsx, HD tab, row 25, Comp Sales % (US) column, as of 2026-08-20.</t>
        </r>
      </text>
    </comment>
    <comment ref="B27" authorId="0">
      <text>
        <r>
          <rPr>
            <sz val="10"/>
            <rFont val="Arial"/>
            <family val="2"/>
          </rPr>
          <t xml:space="preserve">Pulled from HD_LOW_Comp_Sales.xlsx, HD tab, row 26, Comp Sales % (US) column, as of 2026-08-20.</t>
        </r>
      </text>
    </comment>
    <comment ref="B28" authorId="0">
      <text>
        <r>
          <rPr>
            <sz val="10"/>
            <rFont val="Arial"/>
            <family val="2"/>
          </rPr>
          <t xml:space="preserve">Pulled from HD_LOW_Comp_Sales.xlsx, HD tab, row 27, Comp Sales % (US) column, as of 2026-08-20.</t>
        </r>
      </text>
    </comment>
    <comment ref="B29" authorId="0">
      <text>
        <r>
          <rPr>
            <sz val="10"/>
            <rFont val="Arial"/>
            <family val="2"/>
          </rPr>
          <t xml:space="preserve">Pulled from HD_LOW_Comp_Sales.xlsx, HD tab, row 28, Comp Sales % (US) column, as of 2026-08-20.</t>
        </r>
      </text>
    </comment>
    <comment ref="B30" authorId="0">
      <text>
        <r>
          <rPr>
            <sz val="10"/>
            <rFont val="Arial"/>
            <family val="2"/>
          </rPr>
          <t xml:space="preserve">Pulled from HD_LOW_Comp_Sales.xlsx, HD tab, row 29, Comp Sales % (US) column, as of 2026-08-20.</t>
        </r>
      </text>
    </comment>
    <comment ref="B31" authorId="0">
      <text>
        <r>
          <rPr>
            <sz val="10"/>
            <rFont val="Arial"/>
            <family val="2"/>
          </rPr>
          <t xml:space="preserve">Pulled from HD_LOW_Comp_Sales.xlsx, HD tab, row 30, Comp Sales % (US) column, as of 2026-08-20.</t>
        </r>
      </text>
    </comment>
    <comment ref="B32" authorId="0">
      <text>
        <r>
          <rPr>
            <sz val="10"/>
            <rFont val="Arial"/>
            <family val="2"/>
          </rPr>
          <t xml:space="preserve">Pulled from HD_LOW_Comp_Sales.xlsx, HD tab, row 31, Comp Sales % (US) column, as of 2026-08-20.</t>
        </r>
      </text>
    </comment>
    <comment ref="B33" authorId="0">
      <text>
        <r>
          <rPr>
            <sz val="10"/>
            <rFont val="Arial"/>
            <family val="2"/>
          </rPr>
          <t xml:space="preserve">Pulled from HD_LOW_Comp_Sales.xlsx, HD tab, row 32, Comp Sales % (US) column, as of 2026-08-20.</t>
        </r>
      </text>
    </comment>
    <comment ref="B34" authorId="0">
      <text>
        <r>
          <rPr>
            <sz val="10"/>
            <rFont val="Arial"/>
            <family val="2"/>
          </rPr>
          <t xml:space="preserve">Pulled from HD_LOW_Comp_Sales.xlsx, HD tab, row 33, Comp Sales % (US) column, as of 2026-08-20.</t>
        </r>
      </text>
    </comment>
    <comment ref="B35" authorId="0">
      <text>
        <r>
          <rPr>
            <sz val="10"/>
            <rFont val="Arial"/>
            <family val="2"/>
          </rPr>
          <t xml:space="preserve">Pulled from HD_LOW_Comp_Sales.xlsx, HD tab, row 34, Comp Sales % (US) column, as of 2026-08-20.</t>
        </r>
      </text>
    </comment>
    <comment ref="B39" authorId="0">
      <text>
        <r>
          <rPr>
            <sz val="10"/>
            <rFont val="Arial"/>
            <family val="2"/>
          </rPr>
          <t xml:space="preserve">Pulled from HD_LOW_Comp_Sales.xlsx, LOW tab, row 5, Comp Sales % (US) column, as of 2026-08-20.</t>
        </r>
      </text>
    </comment>
    <comment ref="B40" authorId="0">
      <text>
        <r>
          <rPr>
            <sz val="10"/>
            <rFont val="Arial"/>
            <family val="2"/>
          </rPr>
          <t xml:space="preserve">Pulled from HD_LOW_Comp_Sales.xlsx, LOW tab, row 6, Comp Sales % (US) column, as of 2026-08-20.</t>
        </r>
      </text>
    </comment>
    <comment ref="B41" authorId="0">
      <text>
        <r>
          <rPr>
            <sz val="10"/>
            <rFont val="Arial"/>
            <family val="2"/>
          </rPr>
          <t xml:space="preserve">Pulled from HD_LOW_Comp_Sales.xlsx, LOW tab, row 7, Comp Sales % (US) column, as of 2026-08-20.</t>
        </r>
      </text>
    </comment>
    <comment ref="B42" authorId="0">
      <text>
        <r>
          <rPr>
            <sz val="10"/>
            <rFont val="Arial"/>
            <family val="2"/>
          </rPr>
          <t xml:space="preserve">Pulled from HD_LOW_Comp_Sales.xlsx, LOW tab, row 8, Comp Sales % (US) column, as of 2026-08-20.</t>
        </r>
      </text>
    </comment>
    <comment ref="B43" authorId="0">
      <text>
        <r>
          <rPr>
            <sz val="10"/>
            <rFont val="Arial"/>
            <family val="2"/>
          </rPr>
          <t xml:space="preserve">Pulled from HD_LOW_Comp_Sales.xlsx, LOW tab, row 9, Comp Sales % (US) column, as of 2026-08-20.</t>
        </r>
      </text>
    </comment>
    <comment ref="B44" authorId="0">
      <text>
        <r>
          <rPr>
            <sz val="10"/>
            <rFont val="Arial"/>
            <family val="2"/>
          </rPr>
          <t xml:space="preserve">Pulled from HD_LOW_Comp_Sales.xlsx, LOW tab, row 10, Comp Sales % (US) column, as of 2026-08-20.</t>
        </r>
      </text>
    </comment>
    <comment ref="B45" authorId="0">
      <text>
        <r>
          <rPr>
            <sz val="10"/>
            <rFont val="Arial"/>
            <family val="2"/>
          </rPr>
          <t xml:space="preserve">Pulled from HD_LOW_Comp_Sales.xlsx, LOW tab, row 11, Comp Sales % (US) column, as of 2026-08-20.</t>
        </r>
      </text>
    </comment>
    <comment ref="B46" authorId="0">
      <text>
        <r>
          <rPr>
            <sz val="10"/>
            <rFont val="Arial"/>
            <family val="2"/>
          </rPr>
          <t xml:space="preserve">Pulled from HD_LOW_Comp_Sales.xlsx, LOW tab, row 12, Comp Sales % (US) column, as of 2026-08-20.</t>
        </r>
      </text>
    </comment>
    <comment ref="B47" authorId="0">
      <text>
        <r>
          <rPr>
            <sz val="10"/>
            <rFont val="Arial"/>
            <family val="2"/>
          </rPr>
          <t xml:space="preserve">Pulled from HD_LOW_Comp_Sales.xlsx, LOW tab, row 13, Comp Sales % (US) column, as of 2026-08-20.</t>
        </r>
      </text>
    </comment>
    <comment ref="B48" authorId="0">
      <text>
        <r>
          <rPr>
            <sz val="10"/>
            <rFont val="Arial"/>
            <family val="2"/>
          </rPr>
          <t xml:space="preserve">Pulled from HD_LOW_Comp_Sales.xlsx, LOW tab, row 14, Comp Sales % (US) column, as of 2026-08-20.</t>
        </r>
      </text>
    </comment>
    <comment ref="B49" authorId="0">
      <text>
        <r>
          <rPr>
            <sz val="10"/>
            <rFont val="Arial"/>
            <family val="2"/>
          </rPr>
          <t xml:space="preserve">Pulled from HD_LOW_Comp_Sales.xlsx, LOW tab, row 15, Comp Sales % (US) column, as of 2026-08-20.</t>
        </r>
      </text>
    </comment>
    <comment ref="B50" authorId="0">
      <text>
        <r>
          <rPr>
            <sz val="10"/>
            <rFont val="Arial"/>
            <family val="2"/>
          </rPr>
          <t xml:space="preserve">Pulled from HD_LOW_Comp_Sales.xlsx, LOW tab, row 16, Comp Sales % (US) column, as of 2026-08-20.</t>
        </r>
      </text>
    </comment>
    <comment ref="B51" authorId="0">
      <text>
        <r>
          <rPr>
            <sz val="10"/>
            <rFont val="Arial"/>
            <family val="2"/>
          </rPr>
          <t xml:space="preserve">Pulled from HD_LOW_Comp_Sales.xlsx, LOW tab, row 17, Comp Sales % (US) column, as of 2026-08-20.</t>
        </r>
      </text>
    </comment>
    <comment ref="B52" authorId="0">
      <text>
        <r>
          <rPr>
            <sz val="10"/>
            <rFont val="Arial"/>
            <family val="2"/>
          </rPr>
          <t xml:space="preserve">Pulled from HD_LOW_Comp_Sales.xlsx, LOW tab, row 18, Comp Sales % (US) column, as of 2026-08-20.</t>
        </r>
      </text>
    </comment>
    <comment ref="B53" authorId="0">
      <text>
        <r>
          <rPr>
            <sz val="10"/>
            <rFont val="Arial"/>
            <family val="2"/>
          </rPr>
          <t xml:space="preserve">Pulled from HD_LOW_Comp_Sales.xlsx, LOW tab, row 19, Comp Sales % (US) column, as of 2026-08-20.</t>
        </r>
      </text>
    </comment>
    <comment ref="B54" authorId="0">
      <text>
        <r>
          <rPr>
            <sz val="10"/>
            <rFont val="Arial"/>
            <family val="2"/>
          </rPr>
          <t xml:space="preserve">Pulled from HD_LOW_Comp_Sales.xlsx, LOW tab, row 20, Comp Sales % (US) column, as of 2026-08-20.</t>
        </r>
      </text>
    </comment>
    <comment ref="B55" authorId="0">
      <text>
        <r>
          <rPr>
            <sz val="10"/>
            <rFont val="Arial"/>
            <family val="2"/>
          </rPr>
          <t xml:space="preserve">Pulled from HD_LOW_Comp_Sales.xlsx, LOW tab, row 21, Comp Sales % (US) column, as of 2026-08-20.</t>
        </r>
      </text>
    </comment>
    <comment ref="B56" authorId="0">
      <text>
        <r>
          <rPr>
            <sz val="10"/>
            <rFont val="Arial"/>
            <family val="2"/>
          </rPr>
          <t xml:space="preserve">Pulled from HD_LOW_Comp_Sales.xlsx, LOW tab, row 22, Comp Sales % (US) column, as of 2026-08-20.</t>
        </r>
      </text>
    </comment>
    <comment ref="B57" authorId="0">
      <text>
        <r>
          <rPr>
            <sz val="10"/>
            <rFont val="Arial"/>
            <family val="2"/>
          </rPr>
          <t xml:space="preserve">Pulled from HD_LOW_Comp_Sales.xlsx, LOW tab, row 23, Comp Sales % (US) column, as of 2026-08-20.</t>
        </r>
      </text>
    </comment>
    <comment ref="B58" authorId="0">
      <text>
        <r>
          <rPr>
            <sz val="10"/>
            <rFont val="Arial"/>
            <family val="2"/>
          </rPr>
          <t xml:space="preserve">Pulled from HD_LOW_Comp_Sales.xlsx, LOW tab, row 24, Comp Sales % (US) column, as of 2026-08-20.</t>
        </r>
      </text>
    </comment>
    <comment ref="B59" authorId="0">
      <text>
        <r>
          <rPr>
            <sz val="10"/>
            <rFont val="Arial"/>
            <family val="2"/>
          </rPr>
          <t xml:space="preserve">Pulled from HD_LOW_Comp_Sales.xlsx, LOW tab, row 25, Comp Sales % (US) column, as of 2026-08-20.</t>
        </r>
      </text>
    </comment>
    <comment ref="B60" authorId="0">
      <text>
        <r>
          <rPr>
            <sz val="10"/>
            <rFont val="Arial"/>
            <family val="2"/>
          </rPr>
          <t xml:space="preserve">Pulled from HD_LOW_Comp_Sales.xlsx, LOW tab, row 26, Comp Sales % (US) column, as of 2026-08-20.</t>
        </r>
      </text>
    </comment>
    <comment ref="B61" authorId="0">
      <text>
        <r>
          <rPr>
            <sz val="10"/>
            <rFont val="Arial"/>
            <family val="2"/>
          </rPr>
          <t xml:space="preserve">Pulled from HD_LOW_Comp_Sales.xlsx, LOW tab, row 27, Comp Sales % (US) column, as of 2026-08-20.</t>
        </r>
      </text>
    </comment>
    <comment ref="B62" authorId="0">
      <text>
        <r>
          <rPr>
            <sz val="10"/>
            <rFont val="Arial"/>
            <family val="2"/>
          </rPr>
          <t xml:space="preserve">Pulled from HD_LOW_Comp_Sales.xlsx, LOW tab, row 28, Comp Sales % (US) column, as of 2026-08-20.</t>
        </r>
      </text>
    </comment>
    <comment ref="B63" authorId="0">
      <text>
        <r>
          <rPr>
            <sz val="10"/>
            <rFont val="Arial"/>
            <family val="2"/>
          </rPr>
          <t xml:space="preserve">Pulled from HD_LOW_Comp_Sales.xlsx, LOW tab, row 29, Comp Sales % (US) column, as of 2026-08-20.</t>
        </r>
      </text>
    </comment>
    <comment ref="B64" authorId="0">
      <text>
        <r>
          <rPr>
            <sz val="10"/>
            <rFont val="Arial"/>
            <family val="2"/>
          </rPr>
          <t xml:space="preserve">Pulled from HD_LOW_Comp_Sales.xlsx, LOW tab, row 30, Comp Sales % (US) column, as of 2026-08-20.</t>
        </r>
      </text>
    </comment>
    <comment ref="B65" authorId="0">
      <text>
        <r>
          <rPr>
            <sz val="10"/>
            <rFont val="Arial"/>
            <family val="2"/>
          </rPr>
          <t xml:space="preserve">Pulled from HD_LOW_Comp_Sales.xlsx, LOW tab, row 31, Comp Sales % (US) column, as of 2026-08-20.</t>
        </r>
      </text>
    </comment>
    <comment ref="B66" authorId="0">
      <text>
        <r>
          <rPr>
            <sz val="10"/>
            <rFont val="Arial"/>
            <family val="2"/>
          </rPr>
          <t xml:space="preserve">Pulled from HD_LOW_Comp_Sales.xlsx, LOW tab, row 32, Comp Sales % (US) column, as of 2026-08-20.</t>
        </r>
      </text>
    </comment>
    <comment ref="B67" authorId="0">
      <text>
        <r>
          <rPr>
            <sz val="10"/>
            <rFont val="Arial"/>
            <family val="2"/>
          </rPr>
          <t xml:space="preserve">Pulled from HD_LOW_Comp_Sales.xlsx, LOW tab, row 33, Comp Sales % (US) column, as of 2026-08-20.</t>
        </r>
      </text>
    </comment>
    <comment ref="B68" authorId="0">
      <text>
        <r>
          <rPr>
            <sz val="10"/>
            <rFont val="Arial"/>
            <family val="2"/>
          </rPr>
          <t xml:space="preserve">Pulled from HD_LOW_Comp_Sales.xlsx, LOW tab, row 34, Comp Sales % (US) column, as of 2026-08-20.</t>
        </r>
      </text>
    </comment>
  </commentList>
</comments>
</file>

<file path=xl/sharedStrings.xml><?xml version="1.0" encoding="utf-8"?>
<sst xmlns="http://schemas.openxmlformats.org/spreadsheetml/2006/main" count="635" uniqueCount="170">
  <si>
    <t xml:space="preserve">HD &amp; LOW — US Comp Sales Point Estimates, Q3 FY2026 – Q2 FY2027</t>
  </si>
  <si>
    <t xml:space="preserve">For each forecast quarter, we identify the ONE macro indicator that's historically been the strongest predictor of US comp sales at that exact horizon (see Macro vs Comp Correlation tab), fit a straight line (linear regression, trained on FY2022-present to exclude the pandemic-distorted 2019-2021 period), and plug in that indicator's most recent known reading. Near-term quarters use the 30-year mortgage rate; the two farther-out quarters use Consumer Sentiment, whose predictive power grows sharply with horizon. Full regression detail on the Point Estimates tab. Company guidance and Harvard JCHS's LIRA index are shown below as directional cross-checks only, not blended into the math.</t>
  </si>
  <si>
    <t xml:space="preserve">Company</t>
  </si>
  <si>
    <t xml:space="preserve">Fiscal Quarter</t>
  </si>
  <si>
    <t xml:space="preserve">Predictor Used</t>
  </si>
  <si>
    <t xml:space="preserve">Predictor Value</t>
  </si>
  <si>
    <t xml:space="preserve">Point Estimate (US Comp %)</t>
  </si>
  <si>
    <t xml:space="preserve">LIRA Directional Cross-Check</t>
  </si>
  <si>
    <t xml:space="preserve">HD</t>
  </si>
  <si>
    <t xml:space="preserve">Q3 FY2026</t>
  </si>
  <si>
    <t xml:space="preserve">Mortgage Rate (Leads 1Q)</t>
  </si>
  <si>
    <t xml:space="preserve">Q4 FY2026</t>
  </si>
  <si>
    <t xml:space="preserve">Mortgage Rate (Leads 2Q)</t>
  </si>
  <si>
    <t xml:space="preserve">Q1 FY2027</t>
  </si>
  <si>
    <t xml:space="preserve">Consumer Sentiment (Leads 4Q)</t>
  </si>
  <si>
    <t xml:space="preserve">Q2 FY2027</t>
  </si>
  <si>
    <t xml:space="preserve">Consumer Sentiment (Leads 5Q)</t>
  </si>
  <si>
    <t xml:space="preserve">LOW</t>
  </si>
  <si>
    <t xml:space="preserve">Key Finding: the model diverges from guidance and LIRA</t>
  </si>
  <si>
    <t xml:space="preserve">All 8 macro-driven point estimates come out modestly negative, even after excluding the pandemic-distorted 2019-2021 period from training. This is softer than both companies' FY2026 guidance (flat to +2.0% HD, flat LOW) and LIRA's projected direction (positive, decelerating from +2.1% to +0.5%). This is a genuine finding, not a modeling error: a macro-only regression can't see company-specific factors (market share gains, Pro-channel initiatives, HD's SRS acquisition, pricing, store growth) that management's own guidance presumably reflects -- read it as a signal that persistently elevated mortgage rates and soft consumer sentiment are a real headwind guidance may be counting on execution to offset.</t>
  </si>
  <si>
    <t xml:space="preserve">FY2026 Guidance Cross-Check</t>
  </si>
  <si>
    <t xml:space="preserve">FY2026 total comp sales: flat to +2.0% (reaffirmed 8/18/2026). US comp typically runs slightly below total comp recently (~0.1-0.4 pt gap), so US comp guidance is inferred as roughly flat to +1.7%.</t>
  </si>
  <si>
    <t xml:space="preserve">FY2026 total comp sales: flat (narrowed from flat to +2.0% on 8/19/2026). LOW no longer breaks out US comp separately (divested Canada in FY2022), so total comp guidance applies directly to US comp.</t>
  </si>
  <si>
    <t xml:space="preserve">Data sources: US comp sales from HD's/LOW's own quarterly earnings releases. Mortgage rate = Freddie Mac PMMS 30-Yr Fixed weekly average (FRED). Consumer Sentiment = University of Michigan Survey of Consumers (FRED). LIRA = Harvard JCHS, Q2 2026 release. Full source detail and raw series in HD_LOW_Source_Data.xlsx. All public sources. Built 2026-08-20.</t>
  </si>
  <si>
    <t xml:space="preserve">HD &amp; LOW — Consolidated Quarterly Data (Comp Sales, Macro Indicators, NAICS444, LIRA)</t>
  </si>
  <si>
    <t xml:space="preserve">One row per HD/LOW fiscal quarter. Each company's 30 ACTUAL quarters (Q1 FY2019 - Q2 FY2026) are immediately followed by that SAME company's 4 PROJECTED quarters (Q3 FY2026 - Q2 FY2027, see Period Type column) -- HD rows 5-38, LOW rows 39-72 -- so each company's history reads as one continuous chronological block. Columns E-J (Mortgage Rate through Building Permits) and column K (Data Quality Notes) are sourced from Housing_Macro_Indicators.xlsx's original 'Quarterly Data' tab -- see HD_LOW_Source_Data.xlsx for the raw monthly/weekly readings and day-weighted allocation methodology behind those 6 series (blank for the 4 projected rows -- future macro readings aren't known). Columns L-P (Comp Sales % US, NAICS444, LIRA, Notes, Period Type) are appended after column K. Column L is a hardcoded value (with a source-citing comment) for actual rows, and a LIVE formula linked to the Point Estimates tab for the 4 projected rows per company, so refining the forecast methodology updates these automatically. Built 2026-08-20.</t>
  </si>
  <si>
    <t xml:space="preserve">Quarter Start Date</t>
  </si>
  <si>
    <t xml:space="preserve">Quarter End Date</t>
  </si>
  <si>
    <t xml:space="preserve">30-Yr Mortgage Rate (%)</t>
  </si>
  <si>
    <t xml:space="preserve">Existing Home Sales (M, SAAR)</t>
  </si>
  <si>
    <t xml:space="preserve">New Home Sales (M, SAAR)</t>
  </si>
  <si>
    <t xml:space="preserve">CPI-U Index (NSA)</t>
  </si>
  <si>
    <t xml:space="preserve">U. Michigan Consumer Sentiment</t>
  </si>
  <si>
    <t xml:space="preserve">Building Permits (M Units, SAAR)</t>
  </si>
  <si>
    <t xml:space="preserve">Data Quality Notes</t>
  </si>
  <si>
    <t xml:space="preserve">Comp Sales % (US)</t>
  </si>
  <si>
    <t xml:space="preserve">NAICS444 Retail Sales Y/Y Growth</t>
  </si>
  <si>
    <t xml:space="preserve">LIRA Mapped 4-Qtr YoY Rate of Change</t>
  </si>
  <si>
    <t xml:space="preserve">Comp / NAICS444 / LIRA Notes</t>
  </si>
  <si>
    <t xml:space="preserve">Period Type</t>
  </si>
  <si>
    <t xml:space="preserve">Q1 FY2019</t>
  </si>
  <si>
    <t xml:space="preserve">All series available as full fiscal-quarter averages.</t>
  </si>
  <si>
    <t xml:space="preserve">Actual</t>
  </si>
  <si>
    <t xml:space="preserve">Q2 FY2019</t>
  </si>
  <si>
    <t xml:space="preserve">Q3 FY2019</t>
  </si>
  <si>
    <t xml:space="preserve">Q4 FY2019</t>
  </si>
  <si>
    <t xml:space="preserve">Q1 FY2020</t>
  </si>
  <si>
    <t xml:space="preserve">Q2 FY2020</t>
  </si>
  <si>
    <t xml:space="preserve">Q3 FY2020</t>
  </si>
  <si>
    <t xml:space="preserve">Q4 FY2020</t>
  </si>
  <si>
    <t xml:space="preserve">Q1 FY2021</t>
  </si>
  <si>
    <t xml:space="preserve">Q2 FY2021</t>
  </si>
  <si>
    <t xml:space="preserve">Q3 FY2021</t>
  </si>
  <si>
    <t xml:space="preserve">Q4 FY2021</t>
  </si>
  <si>
    <t xml:space="preserve">Q1 FY2022</t>
  </si>
  <si>
    <t xml:space="preserve">Q2 FY2022</t>
  </si>
  <si>
    <t xml:space="preserve">Q3 FY2022</t>
  </si>
  <si>
    <t xml:space="preserve">Q4 FY2022</t>
  </si>
  <si>
    <t xml:space="preserve">Q1 FY2023</t>
  </si>
  <si>
    <t xml:space="preserve">Q2 FY2023</t>
  </si>
  <si>
    <t xml:space="preserve">Q3 FY2023</t>
  </si>
  <si>
    <t xml:space="preserve">Q4 FY2023</t>
  </si>
  <si>
    <t xml:space="preserve">Q1 FY2024</t>
  </si>
  <si>
    <t xml:space="preserve">Q2 FY2024</t>
  </si>
  <si>
    <t xml:space="preserve">Q3 FY2024</t>
  </si>
  <si>
    <t xml:space="preserve">Q4 FY2024</t>
  </si>
  <si>
    <t xml:space="preserve">Q1 FY2025</t>
  </si>
  <si>
    <t xml:space="preserve">Q2 FY2025</t>
  </si>
  <si>
    <t xml:space="preserve">Q3 FY2025</t>
  </si>
  <si>
    <t xml:space="preserve">Q4 FY2025</t>
  </si>
  <si>
    <t xml:space="preserve">Q1 FY2026</t>
  </si>
  <si>
    <t xml:space="preserve">Q2 FY2026</t>
  </si>
  <si>
    <t xml:space="preserve">Quarter extends beyond available source data for one or more series -- left blank; see the respective 'by Fiscal Qtr' tab.</t>
  </si>
  <si>
    <t xml:space="preserve">NAICS444 retail-sales Y/Y growth not yet available (Census reporting lag)</t>
  </si>
  <si>
    <t xml:space="preserve">Projected quarter -- macro readings not yet known.</t>
  </si>
  <si>
    <t xml:space="preserve">PROJECTED -- see Point Estimates tab for regression detail.</t>
  </si>
  <si>
    <t xml:space="preserve">Projected</t>
  </si>
  <si>
    <t xml:space="preserve">Amber italic rows are PROJECTED quarters (regression point estimates, not company-reported actuals) -- see the Point Estimates tab for full methodology. Quarter start/end dates for projected rows are estimated (standard 13-week cadence from the last known quarter), not confirmed by the company. Amber italic cells within ACTUAL rows flag a specific data gap (see that row's notes).</t>
  </si>
  <si>
    <t xml:space="preserve">LIRA (Harvard JCHS) vs. Comp Sales — Predictive-Power Analysis</t>
  </si>
  <si>
    <t xml:space="preserve">Tests whether Harvard JCHS's LIRA four-quarter moving rate of change (homeowner improvements &amp; repairs spend) predicts HD's and LOW's actual reported US comp sales. SIMPLIFYING ASSUMPTION (per explicit user direction): LIRA's calendar-quarter labels are mapped directly to the company fiscal-quarter label of the same number -- e.g. LIRA's "2027-Q2" is treated as corresponding to "Q2 FY2027" for both HD and LOW -- even though the two periods don't actually share identical start/end dates (HD's and LOW's fiscal quarters run roughly one month behind the calendar quarter of the same number). This trades precision for simplicity; see LIRA_Remodeling_Activity.xlsx for LIRA's own calendar-quarter dating. LIRA has only 12 historical quarters (2023-Q3 through 2026-Q2) before turning into Harvard's own projections -- much less than the 25-30 quarters used for the six-macro-series analysis -- so correlation N here is small and results should be read as directional, not as statistically robust. LIRA's 4 projected quarters (2026-Q3 through 2027-Q2) map directly onto the exact 4 quarters HD and LOW need forecasted -- unlike every other series in this workbook, LIRA hands us actual forward-looking values for the full forecast horizon rather than requiring extrapolation. Comp Sales % (US) pulled from HD_LOW_Comp_Sales.xlsx as of 2026-08-20.</t>
  </si>
  <si>
    <t xml:space="preserve">LIRA Quarter</t>
  </si>
  <si>
    <t xml:space="preserve">Mapped Fiscal Quarter</t>
  </si>
  <si>
    <t xml:space="preserve">LIRA 4-Qtr Total ($B)</t>
  </si>
  <si>
    <t xml:space="preserve">LIRA 4-Qtr YoY Rate of Change</t>
  </si>
  <si>
    <t xml:space="preserve">HD Comp % (US)</t>
  </si>
  <si>
    <t xml:space="preserve">LOW Comp % (US)</t>
  </si>
  <si>
    <t xml:space="preserve">2023-Q3</t>
  </si>
  <si>
    <t xml:space="preserve">Historical</t>
  </si>
  <si>
    <t xml:space="preserve">2023-Q4</t>
  </si>
  <si>
    <t xml:space="preserve">2024-Q1</t>
  </si>
  <si>
    <t xml:space="preserve">2024-Q2</t>
  </si>
  <si>
    <t xml:space="preserve">2024-Q3</t>
  </si>
  <si>
    <t xml:space="preserve">2024-Q4</t>
  </si>
  <si>
    <t xml:space="preserve">2025-Q1</t>
  </si>
  <si>
    <t xml:space="preserve">2025-Q2</t>
  </si>
  <si>
    <t xml:space="preserve">2025-Q3</t>
  </si>
  <si>
    <t xml:space="preserve">2025-Q4</t>
  </si>
  <si>
    <t xml:space="preserve">2026-Q1</t>
  </si>
  <si>
    <t xml:space="preserve">2026-Q2</t>
  </si>
  <si>
    <t xml:space="preserve">2026-Q3</t>
  </si>
  <si>
    <t xml:space="preserve">2026-Q4</t>
  </si>
  <si>
    <t xml:space="preserve">2027-Q1</t>
  </si>
  <si>
    <t xml:space="preserve">2027-Q2</t>
  </si>
  <si>
    <t xml:space="preserve">Amber italic rows are LIRA's own forward-looking projections (2026-Q3 through 2027-Q2, mapped to Q3 FY2026 - Q2 FY2027) -- no actual comp sales exist yet for these rows since HD and LOW haven't reported them.</t>
  </si>
  <si>
    <t xml:space="preserve">Correlation Summary (Pearson r)</t>
  </si>
  <si>
    <t xml:space="preserve">Contemporaneous = LIRA's YoY rate of change vs. same-mapped-quarter comp. "LIRA Leads NQ" = this quarter's LIRA reading vs. the comp N quarters ahead. N (quarter count) is shown since it's much smaller than the six-macro-series analysis -- treat r values computed on N&lt;8 with real caution.</t>
  </si>
  <si>
    <t xml:space="preserve">Contemporaneous r</t>
  </si>
  <si>
    <t xml:space="preserve">Leads 1Q r</t>
  </si>
  <si>
    <t xml:space="preserve">Leads 2Q r</t>
  </si>
  <si>
    <t xml:space="preserve">Leads 3Q r</t>
  </si>
  <si>
    <t xml:space="preserve">N (Contemp.)</t>
  </si>
  <si>
    <t xml:space="preserve">Key Takeaways</t>
  </si>
  <si>
    <t xml:space="preserve">• The correlation is weak at the contemporaneous horizon (HD r=0.18, LOW r=0.06) and turns increasingly NEGATIVE at longer leads (HD -0.60, LOW -0.58 at 3Q) -- the opposite of what we'd hope from the single most conceptually on-topic series in this project. Given N drops to just 9 pairs by the 3Q-lead test, these later figures are especially unstable and should not be read as a reliable trend reversal.</t>
  </si>
  <si>
    <t xml:space="preserve">• A few plausible explanations, none of which we can fully rule out with 12 data points: LIRA is a national, all-homeowner remodeling index (much broader than HD/LOW's specific mix of Pro, DIY, and non-remodel categories like appliances); its figures are 4-quarter MOVING totals, which smooths out the quarter-to-quarter variation that actually drives comp-sales swings; and the simplified calendar-to-fiscal-quarter label mapping used here (per user direction) introduces up to a 1-month misalignment that could blur an otherwise real relationship.</t>
  </si>
  <si>
    <t xml:space="preserve">• Practical implication for the forecasting model: LIRA should NOT be weighted as a strong regression predictor based on this historical correlation -- it doesn't earn that weight on the evidence. Its real value is different: it's the only series in this project that hands us actual forward-looking figures for the exact 4 quarters we need to forecast, so it's better used as a qualitative/directional cross-check on our forecast's shape (LIRA projects continued modest deceleration through 2027-Q1/Q2) rather than as an input we lean on quantitatively.</t>
  </si>
  <si>
    <t xml:space="preserve">Macro Indicators vs. Comp Sales — Predictive-Power Analysis</t>
  </si>
  <si>
    <t xml:space="preserve">Tests whether the six macro series in this workbook (Mortgage Rate, Existing Home Sales, New Home Sales, CPI-U, U. Michigan Consumer Sentiment, Building Permits) predict HD's and LOW's actual reported US comp sales -- same approach as the NAICS444 retail-sales analysis in HD_LOW_Comp_Sales.xlsx's Analysis tab, applied here to the macro series instead. Comp Sales % (US) values are pulled from HD_LOW_Comp_Sales.xlsx as of 2026-08-20 (see per-cell comments for exact source row); the six macro columns are live formula references to this workbook's Quarterly Data tab. Correlation Summary below computes Pearson r via live CORREL() formulas for six lag structures per series per company: Contemporaneous (same quarter) plus Macro Leads 1Q through 5Q (this quarter's macro reading vs. the comp N quarters ahead -- the directly forecast-usable relationships, since these series don't carry NAICS444's multi-quarter reporting lag; extended one quarter beyond this assignment's 4-quarter forecast horizon as an extra check on how quickly each series' predictive power ultimately decays). CORREL() automatically excludes pairs where either value is blank, so trailing quarters where a series hasn't caught up to the fiscal-quarter-end yet are handled correctly without excluding the whole row.</t>
  </si>
  <si>
    <t xml:space="preserve">Home Depot (HD)</t>
  </si>
  <si>
    <t xml:space="preserve">Mortgage Rate (%)</t>
  </si>
  <si>
    <t xml:space="preserve">Consumer Sentiment</t>
  </si>
  <si>
    <t xml:space="preserve">Building Permits (M Units)</t>
  </si>
  <si>
    <t xml:space="preserve">Lowe's (LOW)</t>
  </si>
  <si>
    <t xml:space="preserve">Contemporaneous = macro reading vs. same-quarter comp. "Macro Leads NQ" = this quarter's macro reading vs. the comp N quarters ahead (the relationship usable for an N-quarter-ahead forecast), computed out through 4 quarters to cover the full forecast horizon for this assignment. All use live CORREL() formulas over the full contiguous data range above; blank pairs (a series not yet caught up to a fiscal quarter, or the shift running past the last known quarter) are automatically excluded by CORREL().</t>
  </si>
  <si>
    <t xml:space="preserve">Macro Series</t>
  </si>
  <si>
    <t xml:space="preserve">Macro Leads 1Q r</t>
  </si>
  <si>
    <t xml:space="preserve">Macro Leads 2Q r</t>
  </si>
  <si>
    <t xml:space="preserve">Macro Leads 3Q r</t>
  </si>
  <si>
    <t xml:space="preserve">Macro Leads 4Q r</t>
  </si>
  <si>
    <t xml:space="preserve">Macro Leads 5Q r</t>
  </si>
  <si>
    <t xml:space="preserve">• New Home Sales is the single strongest macro predictor at the SHORT end of the forecast horizon (contemporaneous/1Q-lead, r~0.66-0.80 for both companies) but decays the fastest of any series -- by the 4-quarter lead it's essentially uncorrelated (HD r=0.06, LOW r=-0.03), and stays near zero at 5Q (HD 0.12, LOW 0.04). It's a strong near-term signal, not a reliable one for the back half of a 4+ quarter forecast.</t>
  </si>
  <si>
    <t xml:space="preserve">• Consumer Sentiment does the OPPOSITE: weak at the contemporaneous horizon (r~0.30-0.32) but strengthens steadily with every additional quarter of lead, becoming the single strongest predictor in the entire table at the 4-quarter horizon (HD r=0.81, LOW r=0.80) and continuing to strengthen even further at 5Q (HD r=0.88, LOW r=0.82) -- a striking, consistent, still-climbing pattern across both companies. This makes it the standout candidate for driving the FAR end of our forecast (Q3-Q4 out), even though it's a weak choice for the near term.</t>
  </si>
  <si>
    <t xml:space="preserve">• Mortgage Rate is the most 'all-around' reliable series: strongly negative at every horizon tested (roughly -0.74 to -0.40 for HD, -0.68 to -0.30 for LOW as lead extends from 0 to 5 quarters) -- it decays more gradually than New Home Sales or Building Permits, making it a solid contributor across the full forecast horizon rather than being horizon-specific, even as its strength does erode noticeably by 5Q.</t>
  </si>
  <si>
    <t xml:space="preserve">• CPI-U is unusual in being essentially FLAT across every lag structure (HD ranges only -0.63 to -0.68 through 5Q, LOW only -0.55 to -0.60) -- general inflation appears to have a stable, horizon-independent relationship with comps, unlike the other series whose predictive power clearly rises or falls with lead time.</t>
  </si>
  <si>
    <t xml:space="preserve">• Building Permits -- despite being the most theoretically 'leading' of the six series -- shows the weakest relationship at every horizon and gets WORSE (more negative) the further out it's tested, flipping from a modest positive at contemporaneous (HD 0.31, LOW 0.11) to clearly negative by 4-5 quarters out (HD -0.41, LOW -0.45 at 5Q) for both companies. Being a leading indicator of construction starts clearly doesn't translate into being a good leading correlate of comp sales -- the transmission timeline evidently doesn't line up with what we assumed.</t>
  </si>
  <si>
    <t xml:space="preserve">• Existing Home Sales sits in between: a decent contemporaneous predictor (HD 0.69, LOW 0.57) that decays steadily, ending up weak by 4-5 quarters out (HD 0.25, LOW 0.17 at 5Q) -- more durable than New Home Sales or Permits, but nowhere near as durable as Mortgage Rate or CPI-U.</t>
  </si>
  <si>
    <t xml:space="preserve">• Across nearly every series and lag structure, HD's correlations run modestly higher than LOW's -- consistent with the NAICS444 retail-sales finding (HD r=0.93 vs. LOW r=0.82 contemporaneous) that HD's comp sales are simply more macro-driven/predictable than LOW's, whose results carry more idiosyncratic (Pro/DIY mix, acquisition-related) variation. The one interesting exception is Consumer Sentiment, where HD and LOW stay close together at every lead (0.81 vs. 0.80 at 4Q, 0.88 vs. 0.82 at 5Q).</t>
  </si>
  <si>
    <t xml:space="preserve">• Bottom line for the forecasting model: no single series is reliable across the full 4-5 quarter horizon. A sensible design shifts weight from New Home Sales/Existing Home Sales (strong near-term, weak far-term) toward Consumer Sentiment (weak near-term, strongest far-term and still climbing at 5Q) as the forecast horizon extends, while treating Mortgage Rate and CPI-U as steady, horizon-independent contributors throughout, and de-emphasizing Building Permits given its weak and steadily deteriorating relationship at every tested horizon.</t>
  </si>
  <si>
    <t xml:space="preserve">Point Estimate Regressions — HD &amp; LOW, Q3 FY2026 – Q2 FY2027</t>
  </si>
  <si>
    <t xml:space="preserve">Single-variable linear regression per forecast quarter: SLOPE/INTERCEPT fit comp sales % (Y, column L of the Quarterly Data tab) against ONE macro predictor (X, column E = Mortgage Rate or column I = Consumer Sentiment), using fiscal quarters from Q1 FY2022-present only (the pandemic-distorted 2019-2021 quarters are excluded from training -- an earlier full-sample version produced implausible, sharply negative estimates; see the note below). Point estimate = INTERCEPT + SLOPE x (predictor's most recent known reading).</t>
  </si>
  <si>
    <t xml:space="preserve">HD Regressions</t>
  </si>
  <si>
    <t xml:space="preserve">Q3 FY2026 (1 quarter ahead) — Mortgage Rate, Leads 1Q</t>
  </si>
  <si>
    <t xml:space="preserve">Predictor (X)</t>
  </si>
  <si>
    <t xml:space="preserve">N (historical pairs, FY2022+)</t>
  </si>
  <si>
    <t xml:space="preserve">Slope</t>
  </si>
  <si>
    <t xml:space="preserve">Intercept</t>
  </si>
  <si>
    <t xml:space="preserve">R (correlation)</t>
  </si>
  <si>
    <t xml:space="preserve">Predictor input (30-Yr Mortgage Rate (%), HD Q2 FY2026)</t>
  </si>
  <si>
    <t xml:space="preserve">Point Estimate — Q3 FY2026</t>
  </si>
  <si>
    <t xml:space="preserve">Q4 FY2026 (2 quarters ahead) — Mortgage Rate, Leads 2Q</t>
  </si>
  <si>
    <t xml:space="preserve">Point Estimate — Q4 FY2026</t>
  </si>
  <si>
    <t xml:space="preserve">Q1 FY2027 (3 quarters ahead) — Consumer Sentiment, Leads 4Q</t>
  </si>
  <si>
    <t xml:space="preserve">Predictor input (Consumer Sentiment, HD Q1 FY2026)</t>
  </si>
  <si>
    <t xml:space="preserve">Point Estimate — Q1 FY2027</t>
  </si>
  <si>
    <t xml:space="preserve">Q2 FY2027 (4 quarters ahead) — Consumer Sentiment, Leads 5Q</t>
  </si>
  <si>
    <t xml:space="preserve">Point Estimate — Q2 FY2027</t>
  </si>
  <si>
    <t xml:space="preserve">LOW Regressions</t>
  </si>
  <si>
    <t xml:space="preserve">Predictor input (30-Yr Mortgage Rate (%), LOW Q2 FY2026)</t>
  </si>
  <si>
    <t xml:space="preserve">Predictor input (Consumer Sentiment, LOW Q1 FY2026)</t>
  </si>
  <si>
    <t xml:space="preserve">NAICS 444 Retail Sales vs. Comp Sales — Correlation Analysis</t>
  </si>
  <si>
    <t xml:space="preserve">Tests whether public Census NAICS 444 (Building Material &amp; Garden retail) sales growth predicts HD's and LOW's own reported US comp sales. Uses live CORREL() formulas against this workbook's own 'Quarterly Data' tab (column M = NAICS444 Y/Y growth, column L = Comp Sales % US); blank pairs (no prior-year comparison for the first 4 quarters, or the most recent quarter pending Census reporting) are automatically excluded by CORREL(). Two cuts are shown: the full sample, and a post-pandemic cut starting Q1 FY2022 (the same training window used for the Point Estimates regressions), since the 2020-2021 pandemic demand shock inflates the full-sample correlation for both names.</t>
  </si>
  <si>
    <t xml:space="preserve">Contemporaneous = retail growth vs. same-quarter comp. "Retail Leads 1Q" = this quarter's retail growth vs. NEXT quarter's comp (the predictive/forecasting use case). "Retail Lags 1Q" = this quarter's retail growth vs. the PRIOR quarter's comp.</t>
  </si>
  <si>
    <t xml:space="preserve">Sample</t>
  </si>
  <si>
    <t xml:space="preserve">Retail Leads 1Q r</t>
  </si>
  <si>
    <t xml:space="preserve">Retail Lags 1Q r</t>
  </si>
  <si>
    <t xml:space="preserve">Full sample</t>
  </si>
  <si>
    <t xml:space="preserve">Post-pandemic (Q1 FY2022 onward)</t>
  </si>
  <si>
    <t xml:space="preserve">• For both names, the contemporaneous (same-quarter) relationship is the strongest of the three tested -- retail sales data and comp sales move together in the same period more than either leads or lags the other, consistent with the earlier version of this analysis (full-sample HD r~0.93, LOW r~0.82).</t>
  </si>
  <si>
    <t xml:space="preserve">• HD's correlation with NAICS444 retail sales is consistently stronger and more robust than LOW's, and holds up noticeably better in the post-pandemic cut -- LOW's full-sample correlation is more inflated by the shared 2020-2021 demand shock than HD's.</t>
  </si>
  <si>
    <t xml:space="preserve">• Retail data one quarter ahead ("Retail Leads 1Q") is a meaningfully weaker predictor than the same-quarter relationship for both names, reinforcing that NAICS444 works better as a same-quarter nowcast/cross-check than as a forward-looking predictor -- consistent with why it isn't used as a regression input in the Point Estimates tab (Census also reports it with a lag, so it isn't fully available for the most recent quarter anyway).</t>
  </si>
  <si>
    <t xml:space="preserve">• Practical implication: NAICS444 is a useful SAME-QUARTER sanity check on comp sales once both are reported (helpful for validating the underlying macro backdrop), but its 1-quarter-lead relationship isn't strong enough on its own to replace the mortgage-rate/consumer-sentiment regressions used for the forward point estimates.</t>
  </si>
</sst>
</file>

<file path=xl/styles.xml><?xml version="1.0" encoding="utf-8"?>
<styleSheet xmlns="http://schemas.openxmlformats.org/spreadsheetml/2006/main">
  <numFmts count="9">
    <numFmt numFmtId="164" formatCode="General"/>
    <numFmt numFmtId="165" formatCode="0.00"/>
    <numFmt numFmtId="166" formatCode="0.0%"/>
    <numFmt numFmtId="167" formatCode="mm/dd/yyyy"/>
    <numFmt numFmtId="168" formatCode="0.000"/>
    <numFmt numFmtId="169" formatCode="0.0"/>
    <numFmt numFmtId="170" formatCode="\$#,##0"/>
    <numFmt numFmtId="171" formatCode="0"/>
    <numFmt numFmtId="172" formatCode="0.000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666666"/>
      <name val="Arial"/>
      <family val="0"/>
      <charset val="1"/>
    </font>
    <font>
      <b val="true"/>
      <sz val="11"/>
      <color rgb="FFFFFFFF"/>
      <name val="Arial"/>
      <family val="0"/>
      <charset val="1"/>
    </font>
    <font>
      <b val="true"/>
      <sz val="10"/>
      <name val="Arial"/>
      <family val="0"/>
      <charset val="1"/>
    </font>
    <font>
      <sz val="10"/>
      <name val="Arial"/>
      <family val="0"/>
      <charset val="1"/>
    </font>
    <font>
      <b val="true"/>
      <sz val="12"/>
      <color rgb="FF1F4E78"/>
      <name val="Arial"/>
      <family val="0"/>
      <charset val="1"/>
    </font>
    <font>
      <b val="true"/>
      <sz val="12"/>
      <name val="Arial"/>
      <family val="0"/>
      <charset val="1"/>
    </font>
    <font>
      <i val="true"/>
      <sz val="10"/>
      <color rgb="FF9C5700"/>
      <name val="Arial"/>
      <family val="0"/>
      <charset val="1"/>
    </font>
    <font>
      <sz val="10"/>
      <name val="Arial"/>
      <family val="2"/>
    </font>
  </fonts>
  <fills count="4">
    <fill>
      <patternFill patternType="none"/>
    </fill>
    <fill>
      <patternFill patternType="gray125"/>
    </fill>
    <fill>
      <patternFill patternType="solid">
        <fgColor rgb="FF1F4E78"/>
        <bgColor rgb="FF003366"/>
      </patternFill>
    </fill>
    <fill>
      <patternFill patternType="solid">
        <fgColor rgb="FFD9E8F5"/>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6" fillId="2" borderId="0" xfId="0" applyFont="true" applyBorder="false" applyAlignment="true" applyProtection="false">
      <alignment horizontal="center"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70" fontId="8"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70" fontId="11" fillId="0" borderId="0" xfId="0" applyFont="true" applyBorder="false" applyAlignment="tru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71"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9E8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C57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28"/>
    <col collapsed="false" customWidth="true" hidden="false" outlineLevel="0" max="4" min="4" style="0" width="16"/>
    <col collapsed="false" customWidth="true" hidden="false" outlineLevel="0" max="5" min="5" style="0" width="22"/>
    <col collapsed="false" customWidth="true" hidden="false" outlineLevel="0" max="6" min="6" style="0" width="24"/>
  </cols>
  <sheetData>
    <row r="1" customFormat="false" ht="17.35" hidden="false" customHeight="false" outlineLevel="0" collapsed="false">
      <c r="A1" s="1" t="s">
        <v>0</v>
      </c>
      <c r="B1" s="1"/>
      <c r="C1" s="1"/>
      <c r="D1" s="1"/>
      <c r="E1" s="1"/>
      <c r="F1" s="1"/>
    </row>
    <row r="3" customFormat="false" ht="90" hidden="false" customHeight="true" outlineLevel="0" collapsed="false">
      <c r="A3" s="2" t="s">
        <v>1</v>
      </c>
      <c r="B3" s="2"/>
      <c r="C3" s="2"/>
      <c r="D3" s="2"/>
      <c r="E3" s="2"/>
      <c r="F3" s="2"/>
    </row>
    <row r="6" customFormat="false" ht="30" hidden="false" customHeight="true" outlineLevel="0" collapsed="false">
      <c r="A6" s="3" t="s">
        <v>2</v>
      </c>
      <c r="B6" s="3" t="s">
        <v>3</v>
      </c>
      <c r="C6" s="3" t="s">
        <v>4</v>
      </c>
      <c r="D6" s="3" t="s">
        <v>5</v>
      </c>
      <c r="E6" s="3" t="s">
        <v>6</v>
      </c>
      <c r="F6" s="3" t="s">
        <v>7</v>
      </c>
    </row>
    <row r="7" customFormat="false" ht="15" hidden="false" customHeight="false" outlineLevel="0" collapsed="false">
      <c r="A7" s="4" t="s">
        <v>8</v>
      </c>
      <c r="B7" s="5" t="s">
        <v>9</v>
      </c>
      <c r="C7" s="5" t="s">
        <v>10</v>
      </c>
      <c r="D7" s="6" t="n">
        <f aca="false">'Point Estimates'!B12</f>
        <v>6.49538461538462</v>
      </c>
      <c r="E7" s="7" t="n">
        <f aca="false">'Point Estimates'!B13</f>
        <v>-0.00729515513079548</v>
      </c>
      <c r="F7" s="8" t="n">
        <v>0.021</v>
      </c>
    </row>
    <row r="8" customFormat="false" ht="15" hidden="false" customHeight="false" outlineLevel="0" collapsed="false">
      <c r="A8" s="4" t="s">
        <v>8</v>
      </c>
      <c r="B8" s="5" t="s">
        <v>11</v>
      </c>
      <c r="C8" s="5" t="s">
        <v>12</v>
      </c>
      <c r="D8" s="6" t="n">
        <f aca="false">'Point Estimates'!B21</f>
        <v>6.49538461538462</v>
      </c>
      <c r="E8" s="7" t="n">
        <f aca="false">'Point Estimates'!B22</f>
        <v>-0.00938495244676846</v>
      </c>
      <c r="F8" s="8" t="n">
        <v>0.021</v>
      </c>
    </row>
    <row r="9" customFormat="false" ht="15" hidden="false" customHeight="false" outlineLevel="0" collapsed="false">
      <c r="A9" s="4" t="s">
        <v>8</v>
      </c>
      <c r="B9" s="5" t="s">
        <v>13</v>
      </c>
      <c r="C9" s="5" t="s">
        <v>14</v>
      </c>
      <c r="D9" s="6" t="n">
        <f aca="false">'Point Estimates'!B30</f>
        <v>52.8450549450549</v>
      </c>
      <c r="E9" s="7" t="n">
        <f aca="false">'Point Estimates'!B31</f>
        <v>-0.027086505867598</v>
      </c>
      <c r="F9" s="8" t="n">
        <v>0.007</v>
      </c>
    </row>
    <row r="10" customFormat="false" ht="15" hidden="false" customHeight="false" outlineLevel="0" collapsed="false">
      <c r="A10" s="4" t="s">
        <v>8</v>
      </c>
      <c r="B10" s="5" t="s">
        <v>15</v>
      </c>
      <c r="C10" s="5" t="s">
        <v>16</v>
      </c>
      <c r="D10" s="6" t="n">
        <f aca="false">'Point Estimates'!B39</f>
        <v>52.8450549450549</v>
      </c>
      <c r="E10" s="7" t="n">
        <f aca="false">'Point Estimates'!B40</f>
        <v>-0.0337706531013578</v>
      </c>
      <c r="F10" s="8" t="n">
        <v>0.005</v>
      </c>
    </row>
    <row r="11" customFormat="false" ht="15" hidden="false" customHeight="false" outlineLevel="0" collapsed="false">
      <c r="A11" s="4" t="s">
        <v>17</v>
      </c>
      <c r="B11" s="5" t="s">
        <v>9</v>
      </c>
      <c r="C11" s="5" t="s">
        <v>10</v>
      </c>
      <c r="D11" s="6" t="n">
        <f aca="false">'Point Estimates'!B51</f>
        <v>6.49538461538462</v>
      </c>
      <c r="E11" s="7" t="n">
        <f aca="false">'Point Estimates'!B52</f>
        <v>-0.0167734512939039</v>
      </c>
      <c r="F11" s="8" t="n">
        <v>0.021</v>
      </c>
    </row>
    <row r="12" customFormat="false" ht="15" hidden="false" customHeight="false" outlineLevel="0" collapsed="false">
      <c r="A12" s="4" t="s">
        <v>17</v>
      </c>
      <c r="B12" s="5" t="s">
        <v>11</v>
      </c>
      <c r="C12" s="5" t="s">
        <v>12</v>
      </c>
      <c r="D12" s="6" t="n">
        <f aca="false">'Point Estimates'!B60</f>
        <v>6.49538461538462</v>
      </c>
      <c r="E12" s="7" t="n">
        <f aca="false">'Point Estimates'!B61</f>
        <v>-0.0170230244500911</v>
      </c>
      <c r="F12" s="8" t="n">
        <v>0.021</v>
      </c>
    </row>
    <row r="13" customFormat="false" ht="15" hidden="false" customHeight="false" outlineLevel="0" collapsed="false">
      <c r="A13" s="4" t="s">
        <v>17</v>
      </c>
      <c r="B13" s="5" t="s">
        <v>13</v>
      </c>
      <c r="C13" s="5" t="s">
        <v>14</v>
      </c>
      <c r="D13" s="6" t="n">
        <f aca="false">'Point Estimates'!B69</f>
        <v>53.1021978021978</v>
      </c>
      <c r="E13" s="7" t="n">
        <f aca="false">'Point Estimates'!B70</f>
        <v>-0.0365276610425036</v>
      </c>
      <c r="F13" s="8" t="n">
        <v>0.007</v>
      </c>
    </row>
    <row r="14" customFormat="false" ht="15" hidden="false" customHeight="false" outlineLevel="0" collapsed="false">
      <c r="A14" s="4" t="s">
        <v>17</v>
      </c>
      <c r="B14" s="5" t="s">
        <v>15</v>
      </c>
      <c r="C14" s="5" t="s">
        <v>16</v>
      </c>
      <c r="D14" s="6" t="n">
        <f aca="false">'Point Estimates'!B78</f>
        <v>53.1021978021978</v>
      </c>
      <c r="E14" s="7" t="n">
        <f aca="false">'Point Estimates'!B79</f>
        <v>-0.0568055461924033</v>
      </c>
      <c r="F14" s="8" t="n">
        <v>0.005</v>
      </c>
    </row>
    <row r="16" customFormat="false" ht="15" hidden="false" customHeight="false" outlineLevel="0" collapsed="false">
      <c r="A16" s="9" t="s">
        <v>18</v>
      </c>
    </row>
    <row r="17" customFormat="false" ht="90" hidden="false" customHeight="true" outlineLevel="0" collapsed="false">
      <c r="A17" s="2" t="s">
        <v>19</v>
      </c>
      <c r="B17" s="2"/>
      <c r="C17" s="2"/>
      <c r="D17" s="2"/>
      <c r="E17" s="2"/>
      <c r="F17" s="2"/>
    </row>
    <row r="19" customFormat="false" ht="15" hidden="false" customHeight="false" outlineLevel="0" collapsed="false">
      <c r="A19" s="9" t="s">
        <v>20</v>
      </c>
    </row>
    <row r="20" customFormat="false" ht="48" hidden="false" customHeight="true" outlineLevel="0" collapsed="false">
      <c r="A20" s="4" t="s">
        <v>8</v>
      </c>
      <c r="B20" s="2" t="s">
        <v>21</v>
      </c>
      <c r="C20" s="2"/>
      <c r="D20" s="2"/>
      <c r="E20" s="2"/>
      <c r="F20" s="2"/>
    </row>
    <row r="21" customFormat="false" ht="48" hidden="false" customHeight="true" outlineLevel="0" collapsed="false">
      <c r="A21" s="4" t="s">
        <v>17</v>
      </c>
      <c r="B21" s="2" t="s">
        <v>22</v>
      </c>
      <c r="C21" s="2"/>
      <c r="D21" s="2"/>
      <c r="E21" s="2"/>
      <c r="F21" s="2"/>
    </row>
    <row r="23" customFormat="false" ht="48" hidden="false" customHeight="true" outlineLevel="0" collapsed="false">
      <c r="A23" s="2" t="s">
        <v>23</v>
      </c>
      <c r="B23" s="2"/>
      <c r="C23" s="2"/>
      <c r="D23" s="2"/>
      <c r="E23" s="2"/>
      <c r="F23" s="2"/>
    </row>
  </sheetData>
  <mergeCells count="6">
    <mergeCell ref="A1:F1"/>
    <mergeCell ref="A3:F3"/>
    <mergeCell ref="A17:F17"/>
    <mergeCell ref="B20:F20"/>
    <mergeCell ref="B21:F21"/>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5" min="3" style="0" width="14"/>
    <col collapsed="false" customWidth="true" hidden="false" outlineLevel="0" max="7" min="6" style="0" width="16"/>
    <col collapsed="false" customWidth="true" hidden="false" outlineLevel="0" max="8" min="8" style="0" width="14"/>
    <col collapsed="false" customWidth="true" hidden="false" outlineLevel="0" max="10" min="9" style="0" width="16"/>
    <col collapsed="false" customWidth="true" hidden="false" outlineLevel="0" max="11" min="11" style="0" width="30"/>
    <col collapsed="false" customWidth="true" hidden="false" outlineLevel="0" max="12" min="12" style="0" width="16"/>
    <col collapsed="false" customWidth="true" hidden="false" outlineLevel="0" max="13" min="13" style="0" width="20"/>
    <col collapsed="false" customWidth="true" hidden="false" outlineLevel="0" max="14" min="14" style="0" width="22"/>
    <col collapsed="false" customWidth="true" hidden="false" outlineLevel="0" max="15" min="15" style="0" width="30"/>
    <col collapsed="false" customWidth="true" hidden="false" outlineLevel="0" max="16" min="16" style="0" width="12"/>
  </cols>
  <sheetData>
    <row r="1" customFormat="false" ht="17.35" hidden="false" customHeight="false" outlineLevel="0" collapsed="false">
      <c r="A1" s="1" t="s">
        <v>24</v>
      </c>
      <c r="B1" s="1"/>
      <c r="C1" s="1"/>
      <c r="D1" s="1"/>
      <c r="E1" s="1"/>
      <c r="F1" s="1"/>
      <c r="G1" s="1"/>
      <c r="H1" s="1"/>
      <c r="I1" s="1"/>
      <c r="J1" s="1"/>
      <c r="K1" s="1"/>
      <c r="L1" s="1"/>
      <c r="M1" s="1"/>
      <c r="N1" s="1"/>
      <c r="O1" s="1"/>
      <c r="P1" s="1"/>
    </row>
    <row r="2" customFormat="false" ht="120" hidden="false" customHeight="true" outlineLevel="0" collapsed="false">
      <c r="A2" s="2" t="s">
        <v>25</v>
      </c>
      <c r="B2" s="2"/>
      <c r="C2" s="2"/>
      <c r="D2" s="2"/>
      <c r="E2" s="2"/>
      <c r="F2" s="2"/>
      <c r="G2" s="2"/>
      <c r="H2" s="2"/>
      <c r="I2" s="2"/>
      <c r="J2" s="2"/>
      <c r="K2" s="2"/>
      <c r="L2" s="2"/>
      <c r="M2" s="2"/>
      <c r="N2" s="2"/>
      <c r="O2" s="2"/>
      <c r="P2" s="2"/>
    </row>
    <row r="4" customFormat="false" ht="39.55" hidden="false" customHeight="false" outlineLevel="0" collapsed="false">
      <c r="A4" s="3" t="s">
        <v>2</v>
      </c>
      <c r="B4" s="3" t="s">
        <v>3</v>
      </c>
      <c r="C4" s="3" t="s">
        <v>26</v>
      </c>
      <c r="D4" s="3" t="s">
        <v>27</v>
      </c>
      <c r="E4" s="3" t="s">
        <v>28</v>
      </c>
      <c r="F4" s="3" t="s">
        <v>29</v>
      </c>
      <c r="G4" s="3" t="s">
        <v>30</v>
      </c>
      <c r="H4" s="3" t="s">
        <v>31</v>
      </c>
      <c r="I4" s="3" t="s">
        <v>32</v>
      </c>
      <c r="J4" s="3" t="s">
        <v>33</v>
      </c>
      <c r="K4" s="3" t="s">
        <v>34</v>
      </c>
      <c r="L4" s="3" t="s">
        <v>35</v>
      </c>
      <c r="M4" s="3" t="s">
        <v>36</v>
      </c>
      <c r="N4" s="3" t="s">
        <v>37</v>
      </c>
      <c r="O4" s="3" t="s">
        <v>38</v>
      </c>
      <c r="P4" s="3" t="s">
        <v>39</v>
      </c>
    </row>
    <row r="5" customFormat="false" ht="23.85" hidden="false" customHeight="false" outlineLevel="0" collapsed="false">
      <c r="A5" s="5" t="s">
        <v>8</v>
      </c>
      <c r="B5" s="5" t="s">
        <v>40</v>
      </c>
      <c r="C5" s="10" t="n">
        <v>43500</v>
      </c>
      <c r="D5" s="10" t="n">
        <v>43590</v>
      </c>
      <c r="E5" s="6" t="n">
        <v>4.25</v>
      </c>
      <c r="F5" s="11" t="n">
        <v>5.29296703296703</v>
      </c>
      <c r="G5" s="11" t="n">
        <v>0.688046075566726</v>
      </c>
      <c r="H5" s="11" t="n">
        <v>254.357824175824</v>
      </c>
      <c r="I5" s="12" t="n">
        <v>96.8285714285714</v>
      </c>
      <c r="J5" s="11" t="n">
        <v>1.30428571428571</v>
      </c>
      <c r="K5" s="13" t="s">
        <v>41</v>
      </c>
      <c r="L5" s="8" t="n">
        <v>0.03</v>
      </c>
      <c r="M5" s="5"/>
      <c r="O5" s="13"/>
      <c r="P5" s="5" t="s">
        <v>42</v>
      </c>
    </row>
    <row r="6" customFormat="false" ht="23.85" hidden="false" customHeight="false" outlineLevel="0" collapsed="false">
      <c r="A6" s="5" t="s">
        <v>8</v>
      </c>
      <c r="B6" s="5" t="s">
        <v>43</v>
      </c>
      <c r="C6" s="10" t="n">
        <v>43591</v>
      </c>
      <c r="D6" s="10" t="n">
        <v>43681</v>
      </c>
      <c r="E6" s="6" t="n">
        <v>3.86461538461538</v>
      </c>
      <c r="F6" s="11" t="n">
        <v>5.35076923076923</v>
      </c>
      <c r="G6" s="11" t="n">
        <v>0.668984535994869</v>
      </c>
      <c r="H6" s="11" t="n">
        <v>256.292472527473</v>
      </c>
      <c r="I6" s="12" t="n">
        <v>98.4131868131868</v>
      </c>
      <c r="J6" s="11" t="n">
        <v>1.34801098901099</v>
      </c>
      <c r="K6" s="13" t="s">
        <v>41</v>
      </c>
      <c r="L6" s="8" t="n">
        <v>0.031</v>
      </c>
      <c r="M6" s="5"/>
      <c r="O6" s="13"/>
      <c r="P6" s="5" t="s">
        <v>42</v>
      </c>
    </row>
    <row r="7" customFormat="false" ht="23.85" hidden="false" customHeight="false" outlineLevel="0" collapsed="false">
      <c r="A7" s="5" t="s">
        <v>8</v>
      </c>
      <c r="B7" s="5" t="s">
        <v>44</v>
      </c>
      <c r="C7" s="10" t="n">
        <v>43682</v>
      </c>
      <c r="D7" s="10" t="n">
        <v>43772</v>
      </c>
      <c r="E7" s="6" t="n">
        <v>3.63</v>
      </c>
      <c r="F7" s="11" t="n">
        <v>5.4389010989011</v>
      </c>
      <c r="G7" s="11" t="n">
        <v>0.715343973233013</v>
      </c>
      <c r="H7" s="11" t="n">
        <v>256.914131868132</v>
      </c>
      <c r="I7" s="12" t="n">
        <v>93.0934065934066</v>
      </c>
      <c r="J7" s="11" t="n">
        <v>1.49342857142857</v>
      </c>
      <c r="K7" s="13" t="s">
        <v>41</v>
      </c>
      <c r="L7" s="8" t="n">
        <v>0.038</v>
      </c>
      <c r="M7" s="5"/>
      <c r="O7" s="13"/>
      <c r="P7" s="5" t="s">
        <v>42</v>
      </c>
    </row>
    <row r="8" customFormat="false" ht="23.85" hidden="false" customHeight="false" outlineLevel="0" collapsed="false">
      <c r="A8" s="5" t="s">
        <v>8</v>
      </c>
      <c r="B8" s="5" t="s">
        <v>45</v>
      </c>
      <c r="C8" s="10" t="n">
        <v>43773</v>
      </c>
      <c r="D8" s="10" t="n">
        <v>43863</v>
      </c>
      <c r="E8" s="6" t="n">
        <v>3.67538461538462</v>
      </c>
      <c r="F8" s="11" t="n">
        <v>5.46142857142857</v>
      </c>
      <c r="G8" s="11" t="n">
        <v>0.700049511291828</v>
      </c>
      <c r="H8" s="11" t="n">
        <v>257.420516483517</v>
      </c>
      <c r="I8" s="12" t="n">
        <v>98.7659340659341</v>
      </c>
      <c r="J8" s="11" t="n">
        <v>1.4867032967033</v>
      </c>
      <c r="K8" s="13" t="s">
        <v>41</v>
      </c>
      <c r="L8" s="8" t="n">
        <v>0.053</v>
      </c>
      <c r="M8" s="5"/>
      <c r="O8" s="13"/>
      <c r="P8" s="5" t="s">
        <v>42</v>
      </c>
    </row>
    <row r="9" customFormat="false" ht="23.85" hidden="false" customHeight="false" outlineLevel="0" collapsed="false">
      <c r="A9" s="5" t="s">
        <v>8</v>
      </c>
      <c r="B9" s="5" t="s">
        <v>46</v>
      </c>
      <c r="C9" s="10" t="n">
        <v>43864</v>
      </c>
      <c r="D9" s="10" t="n">
        <v>43954</v>
      </c>
      <c r="E9" s="6" t="n">
        <v>3.39923076923077</v>
      </c>
      <c r="F9" s="11" t="n">
        <v>5.06362637362637</v>
      </c>
      <c r="G9" s="11" t="n">
        <v>0.636342658108226</v>
      </c>
      <c r="H9" s="11" t="n">
        <v>257.656296703297</v>
      </c>
      <c r="I9" s="12" t="n">
        <v>86.3736263736264</v>
      </c>
      <c r="J9" s="11" t="n">
        <v>1.29067032967033</v>
      </c>
      <c r="K9" s="13" t="s">
        <v>41</v>
      </c>
      <c r="L9" s="8" t="n">
        <v>0.075</v>
      </c>
      <c r="M9" s="8" t="n">
        <v>0.0434988575666728</v>
      </c>
      <c r="O9" s="13"/>
      <c r="P9" s="5" t="s">
        <v>42</v>
      </c>
    </row>
    <row r="10" customFormat="false" ht="23.85" hidden="false" customHeight="false" outlineLevel="0" collapsed="false">
      <c r="A10" s="5" t="s">
        <v>8</v>
      </c>
      <c r="B10" s="5" t="s">
        <v>47</v>
      </c>
      <c r="C10" s="10" t="n">
        <v>43955</v>
      </c>
      <c r="D10" s="10" t="n">
        <v>44045</v>
      </c>
      <c r="E10" s="6" t="n">
        <v>3.12769230769231</v>
      </c>
      <c r="F10" s="11" t="n">
        <v>4.88725274725275</v>
      </c>
      <c r="G10" s="11" t="n">
        <v>0.871104611218942</v>
      </c>
      <c r="H10" s="11" t="n">
        <v>257.856142857143</v>
      </c>
      <c r="I10" s="12" t="n">
        <v>74.3197802197802</v>
      </c>
      <c r="J10" s="11" t="n">
        <v>1.38236263736264</v>
      </c>
      <c r="K10" s="13" t="s">
        <v>41</v>
      </c>
      <c r="L10" s="8" t="n">
        <v>0.25</v>
      </c>
      <c r="M10" s="8" t="n">
        <v>0.175235248865419</v>
      </c>
      <c r="O10" s="13"/>
      <c r="P10" s="5" t="s">
        <v>42</v>
      </c>
    </row>
    <row r="11" customFormat="false" ht="23.85" hidden="false" customHeight="false" outlineLevel="0" collapsed="false">
      <c r="A11" s="5" t="s">
        <v>8</v>
      </c>
      <c r="B11" s="5" t="s">
        <v>48</v>
      </c>
      <c r="C11" s="10" t="n">
        <v>44046</v>
      </c>
      <c r="D11" s="10" t="n">
        <v>44136</v>
      </c>
      <c r="E11" s="6" t="n">
        <v>2.88230769230769</v>
      </c>
      <c r="F11" s="11" t="n">
        <v>6.47516483516484</v>
      </c>
      <c r="G11" s="11" t="n">
        <v>1.00715984700393</v>
      </c>
      <c r="H11" s="11" t="n">
        <v>260.200868131868</v>
      </c>
      <c r="I11" s="12" t="n">
        <v>78.8307692307692</v>
      </c>
      <c r="J11" s="11" t="n">
        <v>1.60054945054945</v>
      </c>
      <c r="K11" s="13" t="s">
        <v>41</v>
      </c>
      <c r="L11" s="8" t="n">
        <v>0.246</v>
      </c>
      <c r="M11" s="8" t="n">
        <v>0.162421773997864</v>
      </c>
      <c r="O11" s="13"/>
      <c r="P11" s="5" t="s">
        <v>42</v>
      </c>
    </row>
    <row r="12" customFormat="false" ht="23.85" hidden="false" customHeight="false" outlineLevel="0" collapsed="false">
      <c r="A12" s="5" t="s">
        <v>8</v>
      </c>
      <c r="B12" s="5" t="s">
        <v>49</v>
      </c>
      <c r="C12" s="10" t="n">
        <v>44137</v>
      </c>
      <c r="D12" s="10" t="n">
        <v>44227</v>
      </c>
      <c r="E12" s="6" t="n">
        <v>2.72461538461539</v>
      </c>
      <c r="F12" s="11" t="n">
        <v>6.71384615384616</v>
      </c>
      <c r="G12" s="11" t="n">
        <v>0.883299003726231</v>
      </c>
      <c r="H12" s="11" t="n">
        <v>260.773373626374</v>
      </c>
      <c r="I12" s="12" t="n">
        <v>78.9098901098901</v>
      </c>
      <c r="J12" s="11" t="n">
        <v>1.76932967032967</v>
      </c>
      <c r="K12" s="13" t="s">
        <v>41</v>
      </c>
      <c r="L12" s="8" t="n">
        <v>0.25</v>
      </c>
      <c r="M12" s="8" t="n">
        <v>0.175649505409503</v>
      </c>
      <c r="O12" s="13"/>
      <c r="P12" s="5" t="s">
        <v>42</v>
      </c>
    </row>
    <row r="13" customFormat="false" ht="23.85" hidden="false" customHeight="false" outlineLevel="0" collapsed="false">
      <c r="A13" s="5" t="s">
        <v>8</v>
      </c>
      <c r="B13" s="5" t="s">
        <v>50</v>
      </c>
      <c r="C13" s="10" t="n">
        <v>44228</v>
      </c>
      <c r="D13" s="10" t="n">
        <v>44318</v>
      </c>
      <c r="E13" s="6" t="n">
        <v>2.99</v>
      </c>
      <c r="F13" s="11" t="n">
        <v>6.01725274725275</v>
      </c>
      <c r="G13" s="11" t="n">
        <v>0.812874818639003</v>
      </c>
      <c r="H13" s="11" t="n">
        <v>265.116362637363</v>
      </c>
      <c r="I13" s="12" t="n">
        <v>83.4846153846154</v>
      </c>
      <c r="J13" s="11" t="n">
        <v>1.72340659340659</v>
      </c>
      <c r="K13" s="13" t="s">
        <v>41</v>
      </c>
      <c r="L13" s="8" t="n">
        <v>0.299</v>
      </c>
      <c r="M13" s="8" t="n">
        <v>0.280265339190182</v>
      </c>
      <c r="O13" s="13"/>
      <c r="P13" s="5" t="s">
        <v>42</v>
      </c>
    </row>
    <row r="14" customFormat="false" ht="23.85" hidden="false" customHeight="false" outlineLevel="0" collapsed="false">
      <c r="A14" s="5" t="s">
        <v>8</v>
      </c>
      <c r="B14" s="5" t="s">
        <v>51</v>
      </c>
      <c r="C14" s="10" t="n">
        <v>44319</v>
      </c>
      <c r="D14" s="10" t="n">
        <v>44409</v>
      </c>
      <c r="E14" s="6" t="n">
        <v>2.93</v>
      </c>
      <c r="F14" s="11" t="n">
        <v>5.88538461538462</v>
      </c>
      <c r="G14" s="11" t="n">
        <v>0.725166323077545</v>
      </c>
      <c r="H14" s="11" t="n">
        <v>271.36478021978</v>
      </c>
      <c r="I14" s="12" t="n">
        <v>83.0395604395605</v>
      </c>
      <c r="J14" s="11" t="n">
        <v>1.67792307692308</v>
      </c>
      <c r="K14" s="13" t="s">
        <v>41</v>
      </c>
      <c r="L14" s="8" t="n">
        <v>0.034</v>
      </c>
      <c r="M14" s="8" t="n">
        <v>0.0912301867964755</v>
      </c>
      <c r="O14" s="13"/>
      <c r="P14" s="5" t="s">
        <v>42</v>
      </c>
    </row>
    <row r="15" customFormat="false" ht="23.85" hidden="false" customHeight="false" outlineLevel="0" collapsed="false">
      <c r="A15" s="5" t="s">
        <v>8</v>
      </c>
      <c r="B15" s="5" t="s">
        <v>52</v>
      </c>
      <c r="C15" s="10" t="n">
        <v>44410</v>
      </c>
      <c r="D15" s="10" t="n">
        <v>44500</v>
      </c>
      <c r="E15" s="6" t="n">
        <v>2.93384615384615</v>
      </c>
      <c r="F15" s="11" t="n">
        <v>6.17186813186813</v>
      </c>
      <c r="G15" s="11" t="n">
        <v>0.703190318804171</v>
      </c>
      <c r="H15" s="11" t="n">
        <v>274.841417582418</v>
      </c>
      <c r="I15" s="12" t="n">
        <v>71.6010989010989</v>
      </c>
      <c r="J15" s="11" t="n">
        <v>1.69603296703297</v>
      </c>
      <c r="K15" s="13" t="s">
        <v>41</v>
      </c>
      <c r="L15" s="8" t="n">
        <v>0.055</v>
      </c>
      <c r="M15" s="8" t="n">
        <v>0.0808305465689501</v>
      </c>
      <c r="O15" s="13"/>
      <c r="P15" s="5" t="s">
        <v>42</v>
      </c>
    </row>
    <row r="16" customFormat="false" ht="23.85" hidden="false" customHeight="false" outlineLevel="0" collapsed="false">
      <c r="A16" s="5" t="s">
        <v>8</v>
      </c>
      <c r="B16" s="5" t="s">
        <v>53</v>
      </c>
      <c r="C16" s="10" t="n">
        <v>44501</v>
      </c>
      <c r="D16" s="10" t="n">
        <v>44591</v>
      </c>
      <c r="E16" s="6" t="n">
        <v>3.19538461538462</v>
      </c>
      <c r="F16" s="11" t="n">
        <v>6.3778021978022</v>
      </c>
      <c r="G16" s="11" t="n">
        <v>0.802473134029057</v>
      </c>
      <c r="H16" s="11" t="n">
        <v>279.293868131868</v>
      </c>
      <c r="I16" s="12" t="n">
        <v>68.4241758241758</v>
      </c>
      <c r="J16" s="11" t="n">
        <v>1.85995604395604</v>
      </c>
      <c r="K16" s="13" t="s">
        <v>41</v>
      </c>
      <c r="L16" s="8" t="n">
        <v>0.076</v>
      </c>
      <c r="M16" s="8" t="n">
        <v>0.132022625467125</v>
      </c>
      <c r="O16" s="13"/>
      <c r="P16" s="5" t="s">
        <v>42</v>
      </c>
    </row>
    <row r="17" customFormat="false" ht="23.85" hidden="false" customHeight="false" outlineLevel="0" collapsed="false">
      <c r="A17" s="5" t="s">
        <v>8</v>
      </c>
      <c r="B17" s="5" t="s">
        <v>54</v>
      </c>
      <c r="C17" s="10" t="n">
        <v>44592</v>
      </c>
      <c r="D17" s="10" t="n">
        <v>44682</v>
      </c>
      <c r="E17" s="6" t="n">
        <v>4.29538461538462</v>
      </c>
      <c r="F17" s="11" t="n">
        <v>5.79824175824176</v>
      </c>
      <c r="G17" s="11" t="n">
        <v>0.700783853632723</v>
      </c>
      <c r="H17" s="11" t="n">
        <v>286.850395604396</v>
      </c>
      <c r="I17" s="12" t="n">
        <v>62.432967032967</v>
      </c>
      <c r="J17" s="11" t="n">
        <v>1.86440659340659</v>
      </c>
      <c r="K17" s="13" t="s">
        <v>41</v>
      </c>
      <c r="L17" s="8" t="n">
        <v>0.017</v>
      </c>
      <c r="M17" s="8" t="n">
        <v>0.04064288805815</v>
      </c>
      <c r="O17" s="13"/>
      <c r="P17" s="5" t="s">
        <v>42</v>
      </c>
    </row>
    <row r="18" customFormat="false" ht="23.85" hidden="false" customHeight="false" outlineLevel="0" collapsed="false">
      <c r="A18" s="5" t="s">
        <v>8</v>
      </c>
      <c r="B18" s="5" t="s">
        <v>55</v>
      </c>
      <c r="C18" s="10" t="n">
        <v>44683</v>
      </c>
      <c r="D18" s="10" t="n">
        <v>44773</v>
      </c>
      <c r="E18" s="6" t="n">
        <v>5.39846153846154</v>
      </c>
      <c r="F18" s="11" t="n">
        <v>5.11</v>
      </c>
      <c r="G18" s="11" t="n">
        <v>0.578920044907451</v>
      </c>
      <c r="H18" s="11" t="n">
        <v>294.975450549451</v>
      </c>
      <c r="I18" s="12" t="n">
        <v>53.2802197802198</v>
      </c>
      <c r="J18" s="11" t="n">
        <v>1.71458241758242</v>
      </c>
      <c r="K18" s="13" t="s">
        <v>41</v>
      </c>
      <c r="L18" s="8" t="n">
        <v>0.054</v>
      </c>
      <c r="M18" s="8" t="n">
        <v>0.066951674684878</v>
      </c>
      <c r="O18" s="13"/>
      <c r="P18" s="5" t="s">
        <v>42</v>
      </c>
    </row>
    <row r="19" customFormat="false" ht="23.85" hidden="false" customHeight="false" outlineLevel="0" collapsed="false">
      <c r="A19" s="5" t="s">
        <v>8</v>
      </c>
      <c r="B19" s="5" t="s">
        <v>56</v>
      </c>
      <c r="C19" s="10" t="n">
        <v>44774</v>
      </c>
      <c r="D19" s="10" t="n">
        <v>44864</v>
      </c>
      <c r="E19" s="6" t="n">
        <v>6.08076923076923</v>
      </c>
      <c r="F19" s="11" t="n">
        <v>4.64835164835165</v>
      </c>
      <c r="G19" s="11" t="n">
        <v>0.591019449188036</v>
      </c>
      <c r="H19" s="11" t="n">
        <v>296.987923076923</v>
      </c>
      <c r="I19" s="12" t="n">
        <v>58.8923076923077</v>
      </c>
      <c r="J19" s="11" t="n">
        <v>1.57785714285714</v>
      </c>
      <c r="K19" s="13" t="s">
        <v>41</v>
      </c>
      <c r="L19" s="8" t="n">
        <v>0.045</v>
      </c>
      <c r="M19" s="8" t="n">
        <v>0.103370008442264</v>
      </c>
      <c r="O19" s="13"/>
      <c r="P19" s="5" t="s">
        <v>42</v>
      </c>
    </row>
    <row r="20" customFormat="false" ht="23.85" hidden="false" customHeight="false" outlineLevel="0" collapsed="false">
      <c r="A20" s="5" t="s">
        <v>8</v>
      </c>
      <c r="B20" s="5" t="s">
        <v>57</v>
      </c>
      <c r="C20" s="10" t="n">
        <v>44865</v>
      </c>
      <c r="D20" s="10" t="n">
        <v>44955</v>
      </c>
      <c r="E20" s="6" t="n">
        <v>6.47153846153846</v>
      </c>
      <c r="F20" s="11" t="n">
        <v>4.04120879120879</v>
      </c>
      <c r="G20" s="11" t="n">
        <v>0.619183548672466</v>
      </c>
      <c r="H20" s="11" t="n">
        <v>297.867901098901</v>
      </c>
      <c r="I20" s="12" t="n">
        <v>60.4043956043956</v>
      </c>
      <c r="J20" s="11" t="n">
        <v>1.41497802197802</v>
      </c>
      <c r="K20" s="13" t="s">
        <v>41</v>
      </c>
      <c r="L20" s="8" t="n">
        <v>-0.003</v>
      </c>
      <c r="M20" s="8" t="n">
        <v>0.0210088369278414</v>
      </c>
      <c r="O20" s="13"/>
      <c r="P20" s="5" t="s">
        <v>42</v>
      </c>
    </row>
    <row r="21" customFormat="false" ht="23.85" hidden="false" customHeight="false" outlineLevel="0" collapsed="false">
      <c r="A21" s="5" t="s">
        <v>8</v>
      </c>
      <c r="B21" s="5" t="s">
        <v>58</v>
      </c>
      <c r="C21" s="10" t="n">
        <v>44956</v>
      </c>
      <c r="D21" s="10" t="n">
        <v>45046</v>
      </c>
      <c r="E21" s="6" t="n">
        <v>6.39384615384615</v>
      </c>
      <c r="F21" s="11" t="n">
        <v>4.42065934065934</v>
      </c>
      <c r="G21" s="11" t="n">
        <v>0.642963914766169</v>
      </c>
      <c r="H21" s="11" t="n">
        <v>301.974351648352</v>
      </c>
      <c r="I21" s="12" t="n">
        <v>64.1318681318681</v>
      </c>
      <c r="J21" s="11" t="n">
        <v>1.51503296703297</v>
      </c>
      <c r="K21" s="13" t="s">
        <v>41</v>
      </c>
      <c r="L21" s="8" t="n">
        <v>-0.046</v>
      </c>
      <c r="M21" s="8" t="n">
        <v>-0.0493475534560693</v>
      </c>
      <c r="O21" s="13"/>
      <c r="P21" s="5" t="s">
        <v>42</v>
      </c>
    </row>
    <row r="22" customFormat="false" ht="23.85" hidden="false" customHeight="false" outlineLevel="0" collapsed="false">
      <c r="A22" s="5" t="s">
        <v>8</v>
      </c>
      <c r="B22" s="5" t="s">
        <v>59</v>
      </c>
      <c r="C22" s="10" t="n">
        <v>45047</v>
      </c>
      <c r="D22" s="10" t="n">
        <v>45137</v>
      </c>
      <c r="E22" s="6" t="n">
        <v>6.66384615384615</v>
      </c>
      <c r="F22" s="11" t="n">
        <v>4.17802197802198</v>
      </c>
      <c r="G22" s="11" t="n">
        <v>0.717081330524156</v>
      </c>
      <c r="H22" s="11" t="n">
        <v>304.966340659341</v>
      </c>
      <c r="I22" s="12" t="n">
        <v>64.8351648351648</v>
      </c>
      <c r="J22" s="11" t="n">
        <v>1.51932967032967</v>
      </c>
      <c r="K22" s="13" t="s">
        <v>41</v>
      </c>
      <c r="L22" s="8" t="n">
        <v>-0.02</v>
      </c>
      <c r="M22" s="8" t="n">
        <v>-0.0244798177266722</v>
      </c>
      <c r="O22" s="13"/>
      <c r="P22" s="5" t="s">
        <v>42</v>
      </c>
    </row>
    <row r="23" customFormat="false" ht="23.85" hidden="false" customHeight="false" outlineLevel="0" collapsed="false">
      <c r="A23" s="5" t="s">
        <v>8</v>
      </c>
      <c r="B23" s="5" t="s">
        <v>60</v>
      </c>
      <c r="C23" s="10" t="n">
        <v>45138</v>
      </c>
      <c r="D23" s="10" t="n">
        <v>45228</v>
      </c>
      <c r="E23" s="6" t="n">
        <v>7.28</v>
      </c>
      <c r="F23" s="11" t="n">
        <v>3.93428571428571</v>
      </c>
      <c r="G23" s="11" t="n">
        <v>0.672120797516015</v>
      </c>
      <c r="H23" s="11" t="n">
        <v>307.468417582418</v>
      </c>
      <c r="I23" s="12" t="n">
        <v>67.110989010989</v>
      </c>
      <c r="J23" s="11" t="n">
        <v>1.55057142857143</v>
      </c>
      <c r="K23" s="13" t="s">
        <v>41</v>
      </c>
      <c r="L23" s="8" t="n">
        <v>-0.035</v>
      </c>
      <c r="M23" s="8" t="n">
        <v>-0.0413720211327141</v>
      </c>
      <c r="N23" s="8" t="n">
        <v>0.044</v>
      </c>
      <c r="O23" s="13"/>
      <c r="P23" s="5" t="s">
        <v>42</v>
      </c>
    </row>
    <row r="24" customFormat="false" ht="23.85" hidden="false" customHeight="false" outlineLevel="0" collapsed="false">
      <c r="A24" s="5" t="s">
        <v>8</v>
      </c>
      <c r="B24" s="5" t="s">
        <v>61</v>
      </c>
      <c r="C24" s="10" t="n">
        <v>45229</v>
      </c>
      <c r="D24" s="10" t="n">
        <v>45319</v>
      </c>
      <c r="E24" s="6" t="n">
        <v>7.00307692307692</v>
      </c>
      <c r="F24" s="11" t="n">
        <v>3.8610989010989</v>
      </c>
      <c r="G24" s="11" t="n">
        <v>0.641567655314305</v>
      </c>
      <c r="H24" s="11" t="n">
        <v>307.381032967033</v>
      </c>
      <c r="I24" s="12" t="n">
        <v>69.6626373626374</v>
      </c>
      <c r="J24" s="11" t="n">
        <v>1.51992307692308</v>
      </c>
      <c r="K24" s="13" t="s">
        <v>41</v>
      </c>
      <c r="L24" s="8" t="n">
        <v>-0.04</v>
      </c>
      <c r="M24" s="8" t="n">
        <v>-0.0437305523746553</v>
      </c>
      <c r="N24" s="8" t="n">
        <v>-0.01</v>
      </c>
      <c r="O24" s="13"/>
      <c r="P24" s="5" t="s">
        <v>42</v>
      </c>
    </row>
    <row r="25" customFormat="false" ht="23.85" hidden="false" customHeight="false" outlineLevel="0" collapsed="false">
      <c r="A25" s="5" t="s">
        <v>8</v>
      </c>
      <c r="B25" s="5" t="s">
        <v>62</v>
      </c>
      <c r="C25" s="10" t="n">
        <v>45320</v>
      </c>
      <c r="D25" s="10" t="n">
        <v>45410</v>
      </c>
      <c r="E25" s="6" t="n">
        <v>6.85615384615385</v>
      </c>
      <c r="F25" s="11" t="n">
        <v>4.2289010989011</v>
      </c>
      <c r="G25" s="11" t="n">
        <v>0.679846280051129</v>
      </c>
      <c r="H25" s="11" t="n">
        <v>311.937813186813</v>
      </c>
      <c r="I25" s="12" t="n">
        <v>77.9131868131868</v>
      </c>
      <c r="J25" s="11" t="n">
        <v>1.50251648351648</v>
      </c>
      <c r="K25" s="13" t="s">
        <v>41</v>
      </c>
      <c r="L25" s="8" t="n">
        <v>-0.032</v>
      </c>
      <c r="M25" s="8" t="n">
        <v>-0.0295858022005635</v>
      </c>
      <c r="N25" s="8" t="n">
        <v>-0.006</v>
      </c>
      <c r="O25" s="13"/>
      <c r="P25" s="5" t="s">
        <v>42</v>
      </c>
    </row>
    <row r="26" customFormat="false" ht="23.85" hidden="false" customHeight="false" outlineLevel="0" collapsed="false">
      <c r="A26" s="5" t="s">
        <v>8</v>
      </c>
      <c r="B26" s="5" t="s">
        <v>63</v>
      </c>
      <c r="C26" s="10" t="n">
        <v>45411</v>
      </c>
      <c r="D26" s="10" t="n">
        <v>45501</v>
      </c>
      <c r="E26" s="6" t="n">
        <v>6.95076923076923</v>
      </c>
      <c r="F26" s="11" t="n">
        <v>3.9889010989011</v>
      </c>
      <c r="G26" s="11" t="n">
        <v>0.694062082698877</v>
      </c>
      <c r="H26" s="11" t="n">
        <v>314.237417582418</v>
      </c>
      <c r="I26" s="12" t="n">
        <v>68.1505494505495</v>
      </c>
      <c r="J26" s="11" t="n">
        <v>1.43715384615385</v>
      </c>
      <c r="K26" s="13" t="s">
        <v>41</v>
      </c>
      <c r="L26" s="8" t="n">
        <v>-0.036</v>
      </c>
      <c r="M26" s="8" t="n">
        <v>-0.0170240348801852</v>
      </c>
      <c r="N26" s="8" t="n">
        <v>-0.023</v>
      </c>
      <c r="O26" s="13"/>
      <c r="P26" s="5" t="s">
        <v>42</v>
      </c>
    </row>
    <row r="27" customFormat="false" ht="23.85" hidden="false" customHeight="false" outlineLevel="0" collapsed="false">
      <c r="A27" s="5" t="s">
        <v>8</v>
      </c>
      <c r="B27" s="5" t="s">
        <v>64</v>
      </c>
      <c r="C27" s="10" t="n">
        <v>45502</v>
      </c>
      <c r="D27" s="10" t="n">
        <v>45592</v>
      </c>
      <c r="E27" s="6" t="n">
        <v>6.35692307692308</v>
      </c>
      <c r="F27" s="11" t="n">
        <v>3.88604395604396</v>
      </c>
      <c r="G27" s="11" t="n">
        <v>0.681628377481683</v>
      </c>
      <c r="H27" s="11" t="n">
        <v>315.211582417582</v>
      </c>
      <c r="I27" s="12" t="n">
        <v>69.3472527472528</v>
      </c>
      <c r="J27" s="11" t="n">
        <v>1.45023076923077</v>
      </c>
      <c r="K27" s="13" t="s">
        <v>41</v>
      </c>
      <c r="L27" s="8" t="n">
        <v>-0.012</v>
      </c>
      <c r="M27" s="8" t="n">
        <v>0.0170020225163401</v>
      </c>
      <c r="N27" s="8" t="n">
        <v>-0.025</v>
      </c>
      <c r="O27" s="13"/>
      <c r="P27" s="5" t="s">
        <v>42</v>
      </c>
    </row>
    <row r="28" customFormat="false" ht="23.85" hidden="false" customHeight="false" outlineLevel="0" collapsed="false">
      <c r="A28" s="5" t="s">
        <v>8</v>
      </c>
      <c r="B28" s="5" t="s">
        <v>65</v>
      </c>
      <c r="C28" s="10" t="n">
        <v>45593</v>
      </c>
      <c r="D28" s="10" t="n">
        <v>45690</v>
      </c>
      <c r="E28" s="6" t="n">
        <v>6.82785714285714</v>
      </c>
      <c r="F28" s="11" t="n">
        <v>4.15081632653061</v>
      </c>
      <c r="G28" s="11" t="n">
        <v>0.676056474900412</v>
      </c>
      <c r="H28" s="11" t="n">
        <v>316.297612244898</v>
      </c>
      <c r="I28" s="12" t="n">
        <v>72.2663265306123</v>
      </c>
      <c r="J28" s="11" t="n">
        <v>1.47777551020408</v>
      </c>
      <c r="K28" s="13" t="s">
        <v>41</v>
      </c>
      <c r="L28" s="8" t="n">
        <v>0.013</v>
      </c>
      <c r="M28" s="8" t="n">
        <v>0.0189475871494964</v>
      </c>
      <c r="N28" s="8" t="n">
        <v>-0.019</v>
      </c>
      <c r="O28" s="13"/>
      <c r="P28" s="5" t="s">
        <v>42</v>
      </c>
    </row>
    <row r="29" customFormat="false" ht="23.85" hidden="false" customHeight="false" outlineLevel="0" collapsed="false">
      <c r="A29" s="5" t="s">
        <v>8</v>
      </c>
      <c r="B29" s="5" t="s">
        <v>66</v>
      </c>
      <c r="C29" s="10" t="n">
        <v>45691</v>
      </c>
      <c r="D29" s="10" t="n">
        <v>45781</v>
      </c>
      <c r="E29" s="6" t="n">
        <v>6.74076923076923</v>
      </c>
      <c r="F29" s="11" t="n">
        <v>4.08241758241758</v>
      </c>
      <c r="G29" s="11" t="n">
        <v>0.665150037078984</v>
      </c>
      <c r="H29" s="11" t="n">
        <v>319.995725274725</v>
      </c>
      <c r="I29" s="12" t="n">
        <v>57.4065934065934</v>
      </c>
      <c r="J29" s="11" t="n">
        <v>1.46002197802198</v>
      </c>
      <c r="K29" s="13" t="s">
        <v>41</v>
      </c>
      <c r="L29" s="8" t="n">
        <v>0.002</v>
      </c>
      <c r="M29" s="8" t="n">
        <v>0.0290387446865359</v>
      </c>
      <c r="N29" s="8" t="n">
        <v>-0.001</v>
      </c>
      <c r="O29" s="13"/>
      <c r="P29" s="5" t="s">
        <v>42</v>
      </c>
    </row>
    <row r="30" customFormat="false" ht="23.85" hidden="false" customHeight="false" outlineLevel="0" collapsed="false">
      <c r="A30" s="5" t="s">
        <v>8</v>
      </c>
      <c r="B30" s="5" t="s">
        <v>67</v>
      </c>
      <c r="C30" s="10" t="n">
        <v>45782</v>
      </c>
      <c r="D30" s="10" t="n">
        <v>45872</v>
      </c>
      <c r="E30" s="6" t="n">
        <v>6.78384615384615</v>
      </c>
      <c r="F30" s="11" t="n">
        <v>3.98923076923077</v>
      </c>
      <c r="G30" s="11" t="n">
        <v>0.647620086157546</v>
      </c>
      <c r="H30" s="11" t="n">
        <v>322.448362637363</v>
      </c>
      <c r="I30" s="12" t="n">
        <v>58.4362637362637</v>
      </c>
      <c r="J30" s="11" t="n">
        <v>1.40267032967033</v>
      </c>
      <c r="K30" s="13" t="s">
        <v>41</v>
      </c>
      <c r="L30" s="8" t="n">
        <v>0.014</v>
      </c>
      <c r="M30" s="8" t="n">
        <v>-0.0171724922804344</v>
      </c>
      <c r="N30" s="8" t="n">
        <v>0.012</v>
      </c>
      <c r="O30" s="13"/>
      <c r="P30" s="5" t="s">
        <v>42</v>
      </c>
    </row>
    <row r="31" customFormat="false" ht="23.85" hidden="false" customHeight="false" outlineLevel="0" collapsed="false">
      <c r="A31" s="5" t="s">
        <v>8</v>
      </c>
      <c r="B31" s="5" t="s">
        <v>68</v>
      </c>
      <c r="C31" s="10" t="n">
        <v>45873</v>
      </c>
      <c r="D31" s="10" t="n">
        <v>45963</v>
      </c>
      <c r="E31" s="6" t="n">
        <v>6.38692307692308</v>
      </c>
      <c r="F31" s="11" t="n">
        <v>4.0567032967033</v>
      </c>
      <c r="G31" s="11" t="n">
        <v>0.688953576043563</v>
      </c>
      <c r="H31" s="11" t="n">
        <v>324.416076923077</v>
      </c>
      <c r="I31" s="12" t="n">
        <v>55.4527472527473</v>
      </c>
      <c r="J31" s="11" t="n">
        <v>1.40463736263736</v>
      </c>
      <c r="K31" s="13" t="s">
        <v>41</v>
      </c>
      <c r="L31" s="8" t="n">
        <v>0.001</v>
      </c>
      <c r="M31" s="8" t="n">
        <v>-0.0342463232009609</v>
      </c>
      <c r="N31" s="8" t="n">
        <v>0.016</v>
      </c>
      <c r="O31" s="13"/>
      <c r="P31" s="5" t="s">
        <v>42</v>
      </c>
    </row>
    <row r="32" customFormat="false" ht="23.85" hidden="false" customHeight="false" outlineLevel="0" collapsed="false">
      <c r="A32" s="5" t="s">
        <v>8</v>
      </c>
      <c r="B32" s="5" t="s">
        <v>69</v>
      </c>
      <c r="C32" s="10" t="n">
        <v>45964</v>
      </c>
      <c r="D32" s="10" t="n">
        <v>46054</v>
      </c>
      <c r="E32" s="6" t="n">
        <v>6.17769230769231</v>
      </c>
      <c r="F32" s="11" t="n">
        <v>4.12956043956044</v>
      </c>
      <c r="G32" s="11" t="n">
        <v>0.682602266729797</v>
      </c>
      <c r="H32" s="11" t="n">
        <v>324.513043956044</v>
      </c>
      <c r="I32" s="12" t="n">
        <v>53.5483516483516</v>
      </c>
      <c r="J32" s="11" t="n">
        <v>1.4313956043956</v>
      </c>
      <c r="K32" s="13" t="s">
        <v>41</v>
      </c>
      <c r="L32" s="8" t="n">
        <v>0.003</v>
      </c>
      <c r="M32" s="8" t="n">
        <v>0.00441845982971012</v>
      </c>
      <c r="N32" s="8" t="n">
        <v>0.018</v>
      </c>
      <c r="O32" s="13"/>
      <c r="P32" s="5" t="s">
        <v>42</v>
      </c>
    </row>
    <row r="33" customFormat="false" ht="23.85" hidden="false" customHeight="false" outlineLevel="0" collapsed="false">
      <c r="A33" s="5" t="s">
        <v>8</v>
      </c>
      <c r="B33" s="5" t="s">
        <v>70</v>
      </c>
      <c r="C33" s="10" t="n">
        <v>46055</v>
      </c>
      <c r="D33" s="10" t="n">
        <v>46145</v>
      </c>
      <c r="E33" s="6" t="n">
        <v>6.19692307692308</v>
      </c>
      <c r="F33" s="11" t="n">
        <v>4.03208791208791</v>
      </c>
      <c r="G33" s="11" t="n">
        <v>0.644751132279414</v>
      </c>
      <c r="H33" s="11" t="n">
        <v>330.283153846154</v>
      </c>
      <c r="I33" s="12" t="n">
        <v>52.8450549450549</v>
      </c>
      <c r="J33" s="11" t="n">
        <v>1.43684615384615</v>
      </c>
      <c r="K33" s="13" t="s">
        <v>41</v>
      </c>
      <c r="L33" s="8" t="n">
        <v>0.004</v>
      </c>
      <c r="M33" s="8" t="n">
        <v>0.0379227702180347</v>
      </c>
      <c r="N33" s="8" t="n">
        <v>0.019</v>
      </c>
      <c r="O33" s="13"/>
      <c r="P33" s="5" t="s">
        <v>42</v>
      </c>
    </row>
    <row r="34" customFormat="false" ht="46.25" hidden="false" customHeight="false" outlineLevel="0" collapsed="false">
      <c r="A34" s="5" t="s">
        <v>8</v>
      </c>
      <c r="B34" s="5" t="s">
        <v>71</v>
      </c>
      <c r="C34" s="10" t="n">
        <v>46146</v>
      </c>
      <c r="D34" s="10" t="n">
        <v>46236</v>
      </c>
      <c r="E34" s="6" t="n">
        <v>6.49538461538462</v>
      </c>
      <c r="F34" s="14"/>
      <c r="G34" s="14"/>
      <c r="H34" s="14"/>
      <c r="I34" s="15"/>
      <c r="J34" s="14"/>
      <c r="K34" s="16" t="s">
        <v>72</v>
      </c>
      <c r="L34" s="8" t="n">
        <v>0.013</v>
      </c>
      <c r="M34" s="17"/>
      <c r="N34" s="8" t="n">
        <v>0.02</v>
      </c>
      <c r="O34" s="16" t="s">
        <v>73</v>
      </c>
      <c r="P34" s="5" t="s">
        <v>42</v>
      </c>
    </row>
    <row r="35" customFormat="false" ht="23.85" hidden="false" customHeight="false" outlineLevel="0" collapsed="false">
      <c r="A35" s="17" t="s">
        <v>8</v>
      </c>
      <c r="B35" s="17" t="s">
        <v>9</v>
      </c>
      <c r="C35" s="18" t="n">
        <v>46237</v>
      </c>
      <c r="D35" s="18" t="n">
        <v>46327</v>
      </c>
      <c r="K35" s="17" t="s">
        <v>74</v>
      </c>
      <c r="L35" s="19" t="n">
        <f aca="false">'Point Estimates'!B13</f>
        <v>-0.00729515513079548</v>
      </c>
      <c r="N35" s="20" t="n">
        <v>0.021</v>
      </c>
      <c r="O35" s="16" t="s">
        <v>75</v>
      </c>
      <c r="P35" s="17" t="s">
        <v>76</v>
      </c>
    </row>
    <row r="36" customFormat="false" ht="23.85" hidden="false" customHeight="false" outlineLevel="0" collapsed="false">
      <c r="A36" s="17" t="s">
        <v>8</v>
      </c>
      <c r="B36" s="17" t="s">
        <v>11</v>
      </c>
      <c r="C36" s="18" t="n">
        <v>46328</v>
      </c>
      <c r="D36" s="18" t="n">
        <v>46418</v>
      </c>
      <c r="K36" s="17" t="s">
        <v>74</v>
      </c>
      <c r="L36" s="19" t="n">
        <f aca="false">'Point Estimates'!B22</f>
        <v>-0.00938495244676846</v>
      </c>
      <c r="N36" s="20" t="n">
        <v>0.021</v>
      </c>
      <c r="O36" s="16" t="s">
        <v>75</v>
      </c>
      <c r="P36" s="17" t="s">
        <v>76</v>
      </c>
    </row>
    <row r="37" customFormat="false" ht="23.85" hidden="false" customHeight="false" outlineLevel="0" collapsed="false">
      <c r="A37" s="17" t="s">
        <v>8</v>
      </c>
      <c r="B37" s="17" t="s">
        <v>13</v>
      </c>
      <c r="C37" s="18" t="n">
        <v>46419</v>
      </c>
      <c r="D37" s="18" t="n">
        <v>46509</v>
      </c>
      <c r="K37" s="17" t="s">
        <v>74</v>
      </c>
      <c r="L37" s="19" t="n">
        <f aca="false">'Point Estimates'!B31</f>
        <v>-0.027086505867598</v>
      </c>
      <c r="N37" s="20" t="n">
        <v>0.007</v>
      </c>
      <c r="O37" s="16" t="s">
        <v>75</v>
      </c>
      <c r="P37" s="17" t="s">
        <v>76</v>
      </c>
    </row>
    <row r="38" customFormat="false" ht="23.85" hidden="false" customHeight="false" outlineLevel="0" collapsed="false">
      <c r="A38" s="17" t="s">
        <v>8</v>
      </c>
      <c r="B38" s="17" t="s">
        <v>15</v>
      </c>
      <c r="C38" s="18" t="n">
        <v>46510</v>
      </c>
      <c r="D38" s="18" t="n">
        <v>46600</v>
      </c>
      <c r="K38" s="17" t="s">
        <v>74</v>
      </c>
      <c r="L38" s="19" t="n">
        <f aca="false">'Point Estimates'!B40</f>
        <v>-0.0337706531013578</v>
      </c>
      <c r="N38" s="20" t="n">
        <v>0.005</v>
      </c>
      <c r="O38" s="16" t="s">
        <v>75</v>
      </c>
      <c r="P38" s="17" t="s">
        <v>76</v>
      </c>
    </row>
    <row r="39" customFormat="false" ht="23.85" hidden="false" customHeight="false" outlineLevel="0" collapsed="false">
      <c r="A39" s="5" t="s">
        <v>17</v>
      </c>
      <c r="B39" s="5" t="s">
        <v>40</v>
      </c>
      <c r="C39" s="10" t="n">
        <v>43498</v>
      </c>
      <c r="D39" s="10" t="n">
        <v>43588</v>
      </c>
      <c r="E39" s="6" t="n">
        <v>4.25</v>
      </c>
      <c r="F39" s="11" t="n">
        <v>5.2967032967033</v>
      </c>
      <c r="G39" s="11" t="n">
        <v>0.688694690980751</v>
      </c>
      <c r="H39" s="11" t="n">
        <v>254.284945054945</v>
      </c>
      <c r="I39" s="12" t="n">
        <v>96.6923076923077</v>
      </c>
      <c r="J39" s="11" t="n">
        <v>1.30294505494506</v>
      </c>
      <c r="K39" s="13" t="s">
        <v>41</v>
      </c>
      <c r="L39" s="8" t="n">
        <v>0.042</v>
      </c>
      <c r="M39" s="5"/>
      <c r="O39" s="13"/>
      <c r="P39" s="5" t="s">
        <v>42</v>
      </c>
    </row>
    <row r="40" customFormat="false" ht="23.85" hidden="false" customHeight="false" outlineLevel="0" collapsed="false">
      <c r="A40" s="5" t="s">
        <v>17</v>
      </c>
      <c r="B40" s="5" t="s">
        <v>43</v>
      </c>
      <c r="C40" s="10" t="n">
        <v>43589</v>
      </c>
      <c r="D40" s="10" t="n">
        <v>43679</v>
      </c>
      <c r="E40" s="6" t="n">
        <v>3.86461538461538</v>
      </c>
      <c r="F40" s="11" t="n">
        <v>5.34747252747253</v>
      </c>
      <c r="G40" s="11" t="n">
        <v>0.666928638996663</v>
      </c>
      <c r="H40" s="11" t="n">
        <v>256.282230769231</v>
      </c>
      <c r="I40" s="12" t="n">
        <v>98.6373626373626</v>
      </c>
      <c r="J40" s="11" t="n">
        <v>1.34504395604396</v>
      </c>
      <c r="K40" s="13" t="s">
        <v>41</v>
      </c>
      <c r="L40" s="8" t="n">
        <v>0.032</v>
      </c>
      <c r="M40" s="5"/>
      <c r="O40" s="13"/>
      <c r="P40" s="5" t="s">
        <v>42</v>
      </c>
    </row>
    <row r="41" customFormat="false" ht="23.85" hidden="false" customHeight="false" outlineLevel="0" collapsed="false">
      <c r="A41" s="5" t="s">
        <v>17</v>
      </c>
      <c r="B41" s="5" t="s">
        <v>44</v>
      </c>
      <c r="C41" s="10" t="n">
        <v>43680</v>
      </c>
      <c r="D41" s="10" t="n">
        <v>43770</v>
      </c>
      <c r="E41" s="6" t="n">
        <v>3.63</v>
      </c>
      <c r="F41" s="11" t="n">
        <v>5.44197802197802</v>
      </c>
      <c r="G41" s="11" t="n">
        <v>0.715325720731326</v>
      </c>
      <c r="H41" s="11" t="n">
        <v>256.899846153846</v>
      </c>
      <c r="I41" s="12" t="n">
        <v>92.9395604395604</v>
      </c>
      <c r="J41" s="11" t="n">
        <v>1.49226373626374</v>
      </c>
      <c r="K41" s="13" t="s">
        <v>41</v>
      </c>
      <c r="L41" s="8" t="n">
        <v>0.03</v>
      </c>
      <c r="M41" s="5"/>
      <c r="O41" s="13"/>
      <c r="P41" s="5" t="s">
        <v>42</v>
      </c>
    </row>
    <row r="42" customFormat="false" ht="23.85" hidden="false" customHeight="false" outlineLevel="0" collapsed="false">
      <c r="A42" s="5" t="s">
        <v>17</v>
      </c>
      <c r="B42" s="5" t="s">
        <v>45</v>
      </c>
      <c r="C42" s="10" t="n">
        <v>43771</v>
      </c>
      <c r="D42" s="10" t="n">
        <v>43861</v>
      </c>
      <c r="E42" s="6" t="n">
        <v>3.67538461538462</v>
      </c>
      <c r="F42" s="11" t="n">
        <v>5.4521978021978</v>
      </c>
      <c r="G42" s="11" t="n">
        <v>0.700167886680452</v>
      </c>
      <c r="H42" s="11" t="n">
        <v>257.388208791209</v>
      </c>
      <c r="I42" s="12" t="n">
        <v>98.6736263736264</v>
      </c>
      <c r="J42" s="11" t="n">
        <v>1.48832967032967</v>
      </c>
      <c r="K42" s="13" t="s">
        <v>41</v>
      </c>
      <c r="L42" s="8" t="n">
        <v>0.026</v>
      </c>
      <c r="M42" s="5"/>
      <c r="O42" s="13"/>
      <c r="P42" s="5" t="s">
        <v>42</v>
      </c>
    </row>
    <row r="43" customFormat="false" ht="23.85" hidden="false" customHeight="false" outlineLevel="0" collapsed="false">
      <c r="A43" s="5" t="s">
        <v>17</v>
      </c>
      <c r="B43" s="5" t="s">
        <v>46</v>
      </c>
      <c r="C43" s="10" t="n">
        <v>43862</v>
      </c>
      <c r="D43" s="10" t="n">
        <v>43952</v>
      </c>
      <c r="E43" s="6" t="n">
        <v>3.39923076923077</v>
      </c>
      <c r="F43" s="11" t="n">
        <v>5.1045054945055</v>
      </c>
      <c r="G43" s="11" t="n">
        <v>0.636343112460091</v>
      </c>
      <c r="H43" s="11" t="n">
        <v>257.706494505495</v>
      </c>
      <c r="I43" s="12" t="n">
        <v>87.0043956043956</v>
      </c>
      <c r="J43" s="11" t="n">
        <v>1.29528571428571</v>
      </c>
      <c r="K43" s="13" t="s">
        <v>41</v>
      </c>
      <c r="L43" s="8" t="n">
        <v>0.123</v>
      </c>
      <c r="M43" s="8" t="n">
        <v>0.0413575243059494</v>
      </c>
      <c r="O43" s="13"/>
      <c r="P43" s="5" t="s">
        <v>42</v>
      </c>
    </row>
    <row r="44" customFormat="false" ht="23.85" hidden="false" customHeight="false" outlineLevel="0" collapsed="false">
      <c r="A44" s="5" t="s">
        <v>17</v>
      </c>
      <c r="B44" s="5" t="s">
        <v>47</v>
      </c>
      <c r="C44" s="10" t="n">
        <v>43953</v>
      </c>
      <c r="D44" s="10" t="n">
        <v>44043</v>
      </c>
      <c r="E44" s="6" t="n">
        <v>3.12769230769231</v>
      </c>
      <c r="F44" s="11" t="n">
        <v>4.84131868131868</v>
      </c>
      <c r="G44" s="11" t="n">
        <v>0.864324574718959</v>
      </c>
      <c r="H44" s="11" t="n">
        <v>257.778692307692</v>
      </c>
      <c r="I44" s="12" t="n">
        <v>74.2802197802198</v>
      </c>
      <c r="J44" s="11" t="n">
        <v>1.37614285714286</v>
      </c>
      <c r="K44" s="13" t="s">
        <v>41</v>
      </c>
      <c r="L44" s="8" t="n">
        <v>0.351</v>
      </c>
      <c r="M44" s="8" t="n">
        <v>0.175124678952681</v>
      </c>
      <c r="O44" s="13"/>
      <c r="P44" s="5" t="s">
        <v>42</v>
      </c>
    </row>
    <row r="45" customFormat="false" ht="23.85" hidden="false" customHeight="false" outlineLevel="0" collapsed="false">
      <c r="A45" s="5" t="s">
        <v>17</v>
      </c>
      <c r="B45" s="5" t="s">
        <v>48</v>
      </c>
      <c r="C45" s="10" t="n">
        <v>44044</v>
      </c>
      <c r="D45" s="10" t="n">
        <v>44134</v>
      </c>
      <c r="E45" s="6" t="n">
        <v>2.88230769230769</v>
      </c>
      <c r="F45" s="11" t="n">
        <v>6.45824175824176</v>
      </c>
      <c r="G45" s="11" t="n">
        <v>1.0085209926236</v>
      </c>
      <c r="H45" s="11" t="n">
        <v>260.192285714286</v>
      </c>
      <c r="I45" s="12" t="n">
        <v>78.7153846153846</v>
      </c>
      <c r="J45" s="11" t="n">
        <v>1.59795604395604</v>
      </c>
      <c r="K45" s="13" t="s">
        <v>41</v>
      </c>
      <c r="L45" s="8" t="n">
        <v>0.304</v>
      </c>
      <c r="M45" s="8" t="n">
        <v>0.161010289523406</v>
      </c>
      <c r="O45" s="13"/>
      <c r="P45" s="5" t="s">
        <v>42</v>
      </c>
    </row>
    <row r="46" customFormat="false" ht="23.85" hidden="false" customHeight="false" outlineLevel="0" collapsed="false">
      <c r="A46" s="5" t="s">
        <v>17</v>
      </c>
      <c r="B46" s="5" t="s">
        <v>49</v>
      </c>
      <c r="C46" s="10" t="n">
        <v>44135</v>
      </c>
      <c r="D46" s="10" t="n">
        <v>44225</v>
      </c>
      <c r="E46" s="6" t="n">
        <v>2.72461538461539</v>
      </c>
      <c r="F46" s="11" t="n">
        <v>6.7156043956044</v>
      </c>
      <c r="G46" s="11" t="n">
        <v>0.884505798686037</v>
      </c>
      <c r="H46" s="11" t="n">
        <v>260.745384615385</v>
      </c>
      <c r="I46" s="12" t="n">
        <v>78.9175824175824</v>
      </c>
      <c r="J46" s="11" t="n">
        <v>1.76484615384615</v>
      </c>
      <c r="K46" s="13" t="s">
        <v>41</v>
      </c>
      <c r="L46" s="8" t="n">
        <v>0.286</v>
      </c>
      <c r="M46" s="8" t="n">
        <v>0.177235342181932</v>
      </c>
      <c r="O46" s="13"/>
      <c r="P46" s="5" t="s">
        <v>42</v>
      </c>
    </row>
    <row r="47" customFormat="false" ht="23.85" hidden="false" customHeight="false" outlineLevel="0" collapsed="false">
      <c r="A47" s="5" t="s">
        <v>17</v>
      </c>
      <c r="B47" s="5" t="s">
        <v>50</v>
      </c>
      <c r="C47" s="10" t="n">
        <v>44226</v>
      </c>
      <c r="D47" s="10" t="n">
        <v>44316</v>
      </c>
      <c r="E47" s="6" t="n">
        <v>2.99</v>
      </c>
      <c r="F47" s="11" t="n">
        <v>6.03681318681319</v>
      </c>
      <c r="G47" s="11" t="n">
        <v>0.816873080619641</v>
      </c>
      <c r="H47" s="11" t="n">
        <v>264.949043956044</v>
      </c>
      <c r="I47" s="12" t="n">
        <v>83.3989010989011</v>
      </c>
      <c r="J47" s="11" t="n">
        <v>1.72672527472527</v>
      </c>
      <c r="K47" s="13" t="s">
        <v>41</v>
      </c>
      <c r="L47" s="8" t="n">
        <v>0.244</v>
      </c>
      <c r="M47" s="8" t="n">
        <v>0.281857797913536</v>
      </c>
      <c r="O47" s="13"/>
      <c r="P47" s="5" t="s">
        <v>42</v>
      </c>
    </row>
    <row r="48" customFormat="false" ht="23.85" hidden="false" customHeight="false" outlineLevel="0" collapsed="false">
      <c r="A48" s="5" t="s">
        <v>17</v>
      </c>
      <c r="B48" s="5" t="s">
        <v>51</v>
      </c>
      <c r="C48" s="10" t="n">
        <v>44317</v>
      </c>
      <c r="D48" s="10" t="n">
        <v>44407</v>
      </c>
      <c r="E48" s="6" t="n">
        <v>2.93</v>
      </c>
      <c r="F48" s="11" t="n">
        <v>5.88241758241758</v>
      </c>
      <c r="G48" s="11" t="n">
        <v>0.725175794418979</v>
      </c>
      <c r="H48" s="11" t="n">
        <v>271.27489010989</v>
      </c>
      <c r="I48" s="12" t="n">
        <v>83.1967032967033</v>
      </c>
      <c r="J48" s="11" t="n">
        <v>1.67796703296703</v>
      </c>
      <c r="K48" s="13" t="s">
        <v>41</v>
      </c>
      <c r="L48" s="8" t="n">
        <v>-0.022</v>
      </c>
      <c r="M48" s="8" t="n">
        <v>0.0911303941382982</v>
      </c>
      <c r="O48" s="13"/>
      <c r="P48" s="5" t="s">
        <v>42</v>
      </c>
    </row>
    <row r="49" customFormat="false" ht="23.85" hidden="false" customHeight="false" outlineLevel="0" collapsed="false">
      <c r="A49" s="5" t="s">
        <v>17</v>
      </c>
      <c r="B49" s="5" t="s">
        <v>52</v>
      </c>
      <c r="C49" s="10" t="n">
        <v>44408</v>
      </c>
      <c r="D49" s="10" t="n">
        <v>44498</v>
      </c>
      <c r="E49" s="6" t="n">
        <v>2.93384615384615</v>
      </c>
      <c r="F49" s="11" t="n">
        <v>6.16296703296703</v>
      </c>
      <c r="G49" s="11" t="n">
        <v>0.703790134836729</v>
      </c>
      <c r="H49" s="11" t="n">
        <v>274.768802197802</v>
      </c>
      <c r="I49" s="12" t="n">
        <v>71.6901098901099</v>
      </c>
      <c r="J49" s="11" t="n">
        <v>1.69612087912088</v>
      </c>
      <c r="K49" s="13" t="s">
        <v>41</v>
      </c>
      <c r="L49" s="8" t="n">
        <v>0.026</v>
      </c>
      <c r="M49" s="8" t="n">
        <v>0.0814120240388931</v>
      </c>
      <c r="O49" s="13"/>
      <c r="P49" s="5" t="s">
        <v>42</v>
      </c>
    </row>
    <row r="50" customFormat="false" ht="23.85" hidden="false" customHeight="false" outlineLevel="0" collapsed="false">
      <c r="A50" s="5" t="s">
        <v>17</v>
      </c>
      <c r="B50" s="5" t="s">
        <v>53</v>
      </c>
      <c r="C50" s="10" t="n">
        <v>44499</v>
      </c>
      <c r="D50" s="10" t="n">
        <v>44589</v>
      </c>
      <c r="E50" s="6" t="n">
        <v>3.19538461538462</v>
      </c>
      <c r="F50" s="11" t="n">
        <v>6.37428571428571</v>
      </c>
      <c r="G50" s="11" t="n">
        <v>0.799834466650506</v>
      </c>
      <c r="H50" s="11" t="n">
        <v>279.19367032967</v>
      </c>
      <c r="I50" s="12" t="n">
        <v>68.5230769230769</v>
      </c>
      <c r="J50" s="11" t="n">
        <v>1.85503296703297</v>
      </c>
      <c r="K50" s="13" t="s">
        <v>41</v>
      </c>
      <c r="L50" s="8" t="n">
        <v>0.051</v>
      </c>
      <c r="M50" s="8" t="n">
        <v>0.13183235338023</v>
      </c>
      <c r="O50" s="13"/>
      <c r="P50" s="5" t="s">
        <v>42</v>
      </c>
    </row>
    <row r="51" customFormat="false" ht="23.85" hidden="false" customHeight="false" outlineLevel="0" collapsed="false">
      <c r="A51" s="5" t="s">
        <v>17</v>
      </c>
      <c r="B51" s="5" t="s">
        <v>54</v>
      </c>
      <c r="C51" s="10" t="n">
        <v>44590</v>
      </c>
      <c r="D51" s="10" t="n">
        <v>44680</v>
      </c>
      <c r="E51" s="6" t="n">
        <v>4.29538461538462</v>
      </c>
      <c r="F51" s="11" t="n">
        <v>5.82</v>
      </c>
      <c r="G51" s="11" t="n">
        <v>0.704820741485501</v>
      </c>
      <c r="H51" s="11" t="n">
        <v>286.640406593407</v>
      </c>
      <c r="I51" s="12" t="n">
        <v>62.5516483516483</v>
      </c>
      <c r="J51" s="11" t="n">
        <v>1.86754945054945</v>
      </c>
      <c r="K51" s="13" t="s">
        <v>41</v>
      </c>
      <c r="L51" s="8" t="n">
        <v>-0.038</v>
      </c>
      <c r="M51" s="8" t="n">
        <v>0.0413254790835627</v>
      </c>
      <c r="O51" s="13"/>
      <c r="P51" s="5" t="s">
        <v>42</v>
      </c>
    </row>
    <row r="52" customFormat="false" ht="23.85" hidden="false" customHeight="false" outlineLevel="0" collapsed="false">
      <c r="A52" s="5" t="s">
        <v>17</v>
      </c>
      <c r="B52" s="5" t="s">
        <v>55</v>
      </c>
      <c r="C52" s="10" t="n">
        <v>44681</v>
      </c>
      <c r="D52" s="10" t="n">
        <v>44771</v>
      </c>
      <c r="E52" s="6" t="n">
        <v>5.39846153846154</v>
      </c>
      <c r="F52" s="11" t="n">
        <v>5.12538461538462</v>
      </c>
      <c r="G52" s="11" t="n">
        <v>0.580911599859474</v>
      </c>
      <c r="H52" s="11" t="n">
        <v>294.852956043956</v>
      </c>
      <c r="I52" s="12" t="n">
        <v>53.5065934065934</v>
      </c>
      <c r="J52" s="11" t="n">
        <v>1.71618681318681</v>
      </c>
      <c r="K52" s="13" t="s">
        <v>41</v>
      </c>
      <c r="L52" s="8" t="n">
        <v>0.002</v>
      </c>
      <c r="M52" s="8" t="n">
        <v>0.0665160241948233</v>
      </c>
      <c r="O52" s="13"/>
      <c r="P52" s="5" t="s">
        <v>42</v>
      </c>
    </row>
    <row r="53" customFormat="false" ht="23.85" hidden="false" customHeight="false" outlineLevel="0" collapsed="false">
      <c r="A53" s="5" t="s">
        <v>17</v>
      </c>
      <c r="B53" s="5" t="s">
        <v>56</v>
      </c>
      <c r="C53" s="10" t="n">
        <v>44772</v>
      </c>
      <c r="D53" s="10" t="n">
        <v>44862</v>
      </c>
      <c r="E53" s="6" t="n">
        <v>6.08076923076923</v>
      </c>
      <c r="F53" s="11" t="n">
        <v>4.6567032967033</v>
      </c>
      <c r="G53" s="11" t="n">
        <v>0.589904203845624</v>
      </c>
      <c r="H53" s="11" t="n">
        <v>296.949769230769</v>
      </c>
      <c r="I53" s="12" t="n">
        <v>58.7076923076923</v>
      </c>
      <c r="J53" s="11" t="n">
        <v>1.58058241758242</v>
      </c>
      <c r="K53" s="13" t="s">
        <v>41</v>
      </c>
      <c r="L53" s="8" t="n">
        <v>0.03</v>
      </c>
      <c r="M53" s="8" t="n">
        <v>0.103062646598313</v>
      </c>
      <c r="O53" s="13"/>
      <c r="P53" s="5" t="s">
        <v>42</v>
      </c>
    </row>
    <row r="54" customFormat="false" ht="23.85" hidden="false" customHeight="false" outlineLevel="0" collapsed="false">
      <c r="A54" s="5" t="s">
        <v>17</v>
      </c>
      <c r="B54" s="5" t="s">
        <v>57</v>
      </c>
      <c r="C54" s="10" t="n">
        <v>44863</v>
      </c>
      <c r="D54" s="10" t="n">
        <v>44960</v>
      </c>
      <c r="E54" s="6" t="n">
        <v>6.44428571428571</v>
      </c>
      <c r="F54" s="11" t="n">
        <v>4.06479591836735</v>
      </c>
      <c r="G54" s="11" t="n">
        <v>0.619602470784543</v>
      </c>
      <c r="H54" s="11" t="n">
        <v>297.988397959184</v>
      </c>
      <c r="I54" s="12" t="n">
        <v>60.684693877551</v>
      </c>
      <c r="J54" s="11" t="n">
        <v>1.42428571428571</v>
      </c>
      <c r="K54" s="13" t="s">
        <v>41</v>
      </c>
      <c r="L54" s="8" t="n">
        <v>-0.007</v>
      </c>
      <c r="M54" s="8" t="n">
        <v>0.0222572833302928</v>
      </c>
      <c r="O54" s="13"/>
      <c r="P54" s="5" t="s">
        <v>42</v>
      </c>
    </row>
    <row r="55" customFormat="false" ht="23.85" hidden="false" customHeight="false" outlineLevel="0" collapsed="false">
      <c r="A55" s="5" t="s">
        <v>17</v>
      </c>
      <c r="B55" s="5" t="s">
        <v>58</v>
      </c>
      <c r="C55" s="10" t="n">
        <v>44961</v>
      </c>
      <c r="D55" s="10" t="n">
        <v>45051</v>
      </c>
      <c r="E55" s="6" t="n">
        <v>6.41692307692308</v>
      </c>
      <c r="F55" s="11" t="n">
        <v>4.41802197802198</v>
      </c>
      <c r="G55" s="11" t="n">
        <v>0.648209800638444</v>
      </c>
      <c r="H55" s="11" t="n">
        <v>302.191659340659</v>
      </c>
      <c r="I55" s="12" t="n">
        <v>63.7417582417582</v>
      </c>
      <c r="J55" s="11" t="n">
        <v>1.51771428571429</v>
      </c>
      <c r="K55" s="13" t="s">
        <v>41</v>
      </c>
      <c r="L55" s="8" t="n">
        <v>-0.043</v>
      </c>
      <c r="M55" s="8" t="n">
        <v>-0.0242670978873853</v>
      </c>
      <c r="O55" s="13"/>
      <c r="P55" s="5" t="s">
        <v>42</v>
      </c>
    </row>
    <row r="56" customFormat="false" ht="23.85" hidden="false" customHeight="false" outlineLevel="0" collapsed="false">
      <c r="A56" s="5" t="s">
        <v>17</v>
      </c>
      <c r="B56" s="5" t="s">
        <v>59</v>
      </c>
      <c r="C56" s="10" t="n">
        <v>45052</v>
      </c>
      <c r="D56" s="10" t="n">
        <v>45142</v>
      </c>
      <c r="E56" s="6" t="n">
        <v>6.70307692307692</v>
      </c>
      <c r="F56" s="11" t="n">
        <v>4.16406593406593</v>
      </c>
      <c r="G56" s="11" t="n">
        <v>0.712983890411852</v>
      </c>
      <c r="H56" s="11" t="n">
        <v>305.110956043956</v>
      </c>
      <c r="I56" s="12" t="n">
        <v>65.4296703296703</v>
      </c>
      <c r="J56" s="11" t="n">
        <v>1.51953846153846</v>
      </c>
      <c r="K56" s="13" t="s">
        <v>41</v>
      </c>
      <c r="L56" s="8" t="n">
        <v>-0.016</v>
      </c>
      <c r="M56" s="8" t="n">
        <v>-0.0348903468974952</v>
      </c>
      <c r="O56" s="13"/>
      <c r="P56" s="5" t="s">
        <v>42</v>
      </c>
    </row>
    <row r="57" customFormat="false" ht="23.85" hidden="false" customHeight="false" outlineLevel="0" collapsed="false">
      <c r="A57" s="5" t="s">
        <v>17</v>
      </c>
      <c r="B57" s="5" t="s">
        <v>60</v>
      </c>
      <c r="C57" s="10" t="n">
        <v>45143</v>
      </c>
      <c r="D57" s="10" t="n">
        <v>45233</v>
      </c>
      <c r="E57" s="6" t="n">
        <v>7.34615384615385</v>
      </c>
      <c r="F57" s="11" t="n">
        <v>3.92120879120879</v>
      </c>
      <c r="G57" s="11" t="n">
        <v>0.67092257627151</v>
      </c>
      <c r="H57" s="11" t="n">
        <v>307.498087912088</v>
      </c>
      <c r="I57" s="12" t="n">
        <v>66.6978021978022</v>
      </c>
      <c r="J57" s="11" t="n">
        <v>1.54697802197802</v>
      </c>
      <c r="K57" s="13" t="s">
        <v>41</v>
      </c>
      <c r="L57" s="8" t="n">
        <v>-0.074</v>
      </c>
      <c r="M57" s="8" t="n">
        <v>-0.0441132126696155</v>
      </c>
      <c r="N57" s="8" t="n">
        <v>0.044</v>
      </c>
      <c r="O57" s="13"/>
      <c r="P57" s="5" t="s">
        <v>42</v>
      </c>
    </row>
    <row r="58" customFormat="false" ht="23.85" hidden="false" customHeight="false" outlineLevel="0" collapsed="false">
      <c r="A58" s="5" t="s">
        <v>17</v>
      </c>
      <c r="B58" s="5" t="s">
        <v>61</v>
      </c>
      <c r="C58" s="10" t="n">
        <v>45234</v>
      </c>
      <c r="D58" s="10" t="n">
        <v>45324</v>
      </c>
      <c r="E58" s="6" t="n">
        <v>6.91615384615385</v>
      </c>
      <c r="F58" s="11" t="n">
        <v>3.88</v>
      </c>
      <c r="G58" s="11" t="n">
        <v>0.643276120706392</v>
      </c>
      <c r="H58" s="11" t="n">
        <v>307.484417582418</v>
      </c>
      <c r="I58" s="12" t="n">
        <v>70.5340659340659</v>
      </c>
      <c r="J58" s="11" t="n">
        <v>1.52208791208791</v>
      </c>
      <c r="K58" s="13" t="s">
        <v>41</v>
      </c>
      <c r="L58" s="8" t="n">
        <v>-0.062</v>
      </c>
      <c r="M58" s="8" t="n">
        <v>-0.0463945235804858</v>
      </c>
      <c r="N58" s="8" t="n">
        <v>-0.01</v>
      </c>
      <c r="O58" s="13"/>
      <c r="P58" s="5" t="s">
        <v>42</v>
      </c>
    </row>
    <row r="59" customFormat="false" ht="23.85" hidden="false" customHeight="false" outlineLevel="0" collapsed="false">
      <c r="A59" s="5" t="s">
        <v>17</v>
      </c>
      <c r="B59" s="5" t="s">
        <v>62</v>
      </c>
      <c r="C59" s="10" t="n">
        <v>45325</v>
      </c>
      <c r="D59" s="10" t="n">
        <v>45415</v>
      </c>
      <c r="E59" s="6" t="n">
        <v>6.90153846153846</v>
      </c>
      <c r="F59" s="11" t="n">
        <v>4.22725274725275</v>
      </c>
      <c r="G59" s="11" t="n">
        <v>0.680571884316908</v>
      </c>
      <c r="H59" s="11" t="n">
        <v>312.194956043956</v>
      </c>
      <c r="I59" s="12" t="n">
        <v>77.5934065934066</v>
      </c>
      <c r="J59" s="11" t="n">
        <v>1.4952967032967</v>
      </c>
      <c r="K59" s="13" t="s">
        <v>41</v>
      </c>
      <c r="L59" s="8" t="n">
        <v>-0.041</v>
      </c>
      <c r="M59" s="8" t="n">
        <v>-0.0296383723934466</v>
      </c>
      <c r="N59" s="8" t="n">
        <v>-0.006</v>
      </c>
      <c r="O59" s="13"/>
      <c r="P59" s="5" t="s">
        <v>42</v>
      </c>
    </row>
    <row r="60" customFormat="false" ht="23.85" hidden="false" customHeight="false" outlineLevel="0" collapsed="false">
      <c r="A60" s="5" t="s">
        <v>17</v>
      </c>
      <c r="B60" s="5" t="s">
        <v>63</v>
      </c>
      <c r="C60" s="10" t="n">
        <v>45416</v>
      </c>
      <c r="D60" s="10" t="n">
        <v>45506</v>
      </c>
      <c r="E60" s="6" t="n">
        <v>6.91307692307692</v>
      </c>
      <c r="F60" s="11" t="n">
        <v>3.97747252747253</v>
      </c>
      <c r="G60" s="11" t="n">
        <v>0.695702954040849</v>
      </c>
      <c r="H60" s="11" t="n">
        <v>314.280373626374</v>
      </c>
      <c r="I60" s="12" t="n">
        <v>67.8571428571429</v>
      </c>
      <c r="J60" s="11" t="n">
        <v>1.43936263736264</v>
      </c>
      <c r="K60" s="13" t="s">
        <v>41</v>
      </c>
      <c r="L60" s="8" t="n">
        <v>-0.051</v>
      </c>
      <c r="M60" s="8" t="n">
        <v>-0.0136925204794804</v>
      </c>
      <c r="N60" s="8" t="n">
        <v>-0.023</v>
      </c>
      <c r="O60" s="13"/>
      <c r="P60" s="5" t="s">
        <v>42</v>
      </c>
    </row>
    <row r="61" customFormat="false" ht="23.85" hidden="false" customHeight="false" outlineLevel="0" collapsed="false">
      <c r="A61" s="5" t="s">
        <v>17</v>
      </c>
      <c r="B61" s="5" t="s">
        <v>64</v>
      </c>
      <c r="C61" s="10" t="n">
        <v>45507</v>
      </c>
      <c r="D61" s="10" t="n">
        <v>45597</v>
      </c>
      <c r="E61" s="6" t="n">
        <v>6.35615384615385</v>
      </c>
      <c r="F61" s="11" t="n">
        <v>3.89065934065934</v>
      </c>
      <c r="G61" s="11" t="n">
        <v>0.677541206077834</v>
      </c>
      <c r="H61" s="11" t="n">
        <v>315.265835164835</v>
      </c>
      <c r="I61" s="12" t="n">
        <v>69.5538461538462</v>
      </c>
      <c r="J61" s="11" t="n">
        <v>1.4493956043956</v>
      </c>
      <c r="K61" s="13" t="s">
        <v>41</v>
      </c>
      <c r="L61" s="8" t="n">
        <v>-0.011</v>
      </c>
      <c r="M61" s="8" t="n">
        <v>0.0206138738355262</v>
      </c>
      <c r="N61" s="8" t="n">
        <v>-0.025</v>
      </c>
      <c r="O61" s="13"/>
      <c r="P61" s="5" t="s">
        <v>42</v>
      </c>
    </row>
    <row r="62" customFormat="false" ht="23.85" hidden="false" customHeight="false" outlineLevel="0" collapsed="false">
      <c r="A62" s="5" t="s">
        <v>17</v>
      </c>
      <c r="B62" s="5" t="s">
        <v>65</v>
      </c>
      <c r="C62" s="10" t="n">
        <v>45598</v>
      </c>
      <c r="D62" s="10" t="n">
        <v>45688</v>
      </c>
      <c r="E62" s="6" t="n">
        <v>6.83615384615385</v>
      </c>
      <c r="F62" s="11" t="n">
        <v>4.15681318681319</v>
      </c>
      <c r="G62" s="11" t="n">
        <v>0.678821881989723</v>
      </c>
      <c r="H62" s="11" t="n">
        <v>316.27310989011</v>
      </c>
      <c r="I62" s="12" t="n">
        <v>72.5153846153846</v>
      </c>
      <c r="J62" s="11" t="n">
        <v>1.47997802197802</v>
      </c>
      <c r="K62" s="13" t="s">
        <v>41</v>
      </c>
      <c r="L62" s="8" t="n">
        <v>0.002</v>
      </c>
      <c r="M62" s="8" t="n">
        <v>0.013380505658799</v>
      </c>
      <c r="N62" s="8" t="n">
        <v>-0.019</v>
      </c>
      <c r="O62" s="13"/>
      <c r="P62" s="5" t="s">
        <v>42</v>
      </c>
    </row>
    <row r="63" customFormat="false" ht="23.85" hidden="false" customHeight="false" outlineLevel="0" collapsed="false">
      <c r="A63" s="5" t="s">
        <v>17</v>
      </c>
      <c r="B63" s="5" t="s">
        <v>66</v>
      </c>
      <c r="C63" s="10" t="n">
        <v>45689</v>
      </c>
      <c r="D63" s="10" t="n">
        <v>45779</v>
      </c>
      <c r="E63" s="6" t="n">
        <v>6.74076923076923</v>
      </c>
      <c r="F63" s="11" t="n">
        <v>4.08747252747253</v>
      </c>
      <c r="G63" s="11" t="n">
        <v>0.665567600855326</v>
      </c>
      <c r="H63" s="11" t="n">
        <v>319.943351648352</v>
      </c>
      <c r="I63" s="12" t="n">
        <v>57.6813186813187</v>
      </c>
      <c r="J63" s="11" t="n">
        <v>1.46068131868132</v>
      </c>
      <c r="K63" s="13" t="s">
        <v>41</v>
      </c>
      <c r="L63" s="8" t="n">
        <v>-0.017</v>
      </c>
      <c r="M63" s="8" t="n">
        <v>0.00396492726227726</v>
      </c>
      <c r="N63" s="8" t="n">
        <v>-0.001</v>
      </c>
      <c r="O63" s="13"/>
      <c r="P63" s="5" t="s">
        <v>42</v>
      </c>
    </row>
    <row r="64" customFormat="false" ht="23.85" hidden="false" customHeight="false" outlineLevel="0" collapsed="false">
      <c r="A64" s="5" t="s">
        <v>17</v>
      </c>
      <c r="B64" s="5" t="s">
        <v>67</v>
      </c>
      <c r="C64" s="10" t="n">
        <v>45780</v>
      </c>
      <c r="D64" s="10" t="n">
        <v>45870</v>
      </c>
      <c r="E64" s="6" t="n">
        <v>6.78384615384615</v>
      </c>
      <c r="F64" s="11" t="n">
        <v>3.98989010989011</v>
      </c>
      <c r="G64" s="11" t="n">
        <v>0.645955537554221</v>
      </c>
      <c r="H64" s="11" t="n">
        <v>322.393175824176</v>
      </c>
      <c r="I64" s="12" t="n">
        <v>58.3043956043956</v>
      </c>
      <c r="J64" s="11" t="n">
        <v>1.40418681318681</v>
      </c>
      <c r="K64" s="13" t="s">
        <v>41</v>
      </c>
      <c r="L64" s="8" t="n">
        <v>0.011</v>
      </c>
      <c r="M64" s="8" t="n">
        <v>-0.0092999128753154</v>
      </c>
      <c r="N64" s="8" t="n">
        <v>0.012</v>
      </c>
      <c r="O64" s="13"/>
      <c r="P64" s="5" t="s">
        <v>42</v>
      </c>
    </row>
    <row r="65" customFormat="false" ht="23.85" hidden="false" customHeight="false" outlineLevel="0" collapsed="false">
      <c r="A65" s="5" t="s">
        <v>17</v>
      </c>
      <c r="B65" s="5" t="s">
        <v>68</v>
      </c>
      <c r="C65" s="10" t="n">
        <v>45871</v>
      </c>
      <c r="D65" s="10" t="n">
        <v>45961</v>
      </c>
      <c r="E65" s="6" t="n">
        <v>6.38692307692308</v>
      </c>
      <c r="F65" s="11" t="n">
        <v>4.05384615384615</v>
      </c>
      <c r="G65" s="11" t="n">
        <v>0.687649787697968</v>
      </c>
      <c r="H65" s="11" t="n">
        <v>324.412868131868</v>
      </c>
      <c r="I65" s="12" t="n">
        <v>55.610989010989</v>
      </c>
      <c r="J65" s="11" t="n">
        <v>1.40316483516484</v>
      </c>
      <c r="K65" s="13" t="s">
        <v>41</v>
      </c>
      <c r="L65" s="8" t="n">
        <v>0.004</v>
      </c>
      <c r="M65" s="8" t="n">
        <v>-0.0345017378367911</v>
      </c>
      <c r="N65" s="8" t="n">
        <v>0.016</v>
      </c>
      <c r="O65" s="13"/>
      <c r="P65" s="5" t="s">
        <v>42</v>
      </c>
    </row>
    <row r="66" customFormat="false" ht="23.85" hidden="false" customHeight="false" outlineLevel="0" collapsed="false">
      <c r="A66" s="5" t="s">
        <v>17</v>
      </c>
      <c r="B66" s="5" t="s">
        <v>69</v>
      </c>
      <c r="C66" s="10" t="n">
        <v>45962</v>
      </c>
      <c r="D66" s="10" t="n">
        <v>46052</v>
      </c>
      <c r="E66" s="6" t="n">
        <v>6.17769230769231</v>
      </c>
      <c r="F66" s="11" t="n">
        <v>4.13241758241758</v>
      </c>
      <c r="G66" s="11" t="n">
        <v>0.685994509094473</v>
      </c>
      <c r="H66" s="11" t="n">
        <v>324.471362637363</v>
      </c>
      <c r="I66" s="12" t="n">
        <v>53.4274725274725</v>
      </c>
      <c r="J66" s="11" t="n">
        <v>1.43024175824176</v>
      </c>
      <c r="K66" s="13" t="s">
        <v>41</v>
      </c>
      <c r="L66" s="8" t="n">
        <v>0.013</v>
      </c>
      <c r="M66" s="8" t="n">
        <v>0.0031694515565921</v>
      </c>
      <c r="N66" s="8" t="n">
        <v>0.018</v>
      </c>
      <c r="O66" s="13"/>
      <c r="P66" s="5" t="s">
        <v>42</v>
      </c>
    </row>
    <row r="67" customFormat="false" ht="23.85" hidden="false" customHeight="false" outlineLevel="0" collapsed="false">
      <c r="A67" s="5" t="s">
        <v>17</v>
      </c>
      <c r="B67" s="5" t="s">
        <v>70</v>
      </c>
      <c r="C67" s="10" t="n">
        <v>46053</v>
      </c>
      <c r="D67" s="10" t="n">
        <v>46143</v>
      </c>
      <c r="E67" s="6" t="n">
        <v>6.19692307692308</v>
      </c>
      <c r="F67" s="11" t="n">
        <v>4.02835164835165</v>
      </c>
      <c r="G67" s="11" t="n">
        <v>0.644420516844587</v>
      </c>
      <c r="H67" s="11" t="n">
        <v>330.083054945055</v>
      </c>
      <c r="I67" s="12" t="n">
        <v>53.1021978021978</v>
      </c>
      <c r="J67" s="11" t="n">
        <v>1.43808791208791</v>
      </c>
      <c r="K67" s="13" t="s">
        <v>41</v>
      </c>
      <c r="L67" s="8" t="n">
        <v>0.006</v>
      </c>
      <c r="M67" s="8" t="n">
        <v>0.0377522735009483</v>
      </c>
      <c r="N67" s="8" t="n">
        <v>0.019</v>
      </c>
      <c r="O67" s="13"/>
      <c r="P67" s="5" t="s">
        <v>42</v>
      </c>
    </row>
    <row r="68" customFormat="false" ht="46.25" hidden="false" customHeight="false" outlineLevel="0" collapsed="false">
      <c r="A68" s="5" t="s">
        <v>17</v>
      </c>
      <c r="B68" s="5" t="s">
        <v>71</v>
      </c>
      <c r="C68" s="10" t="n">
        <v>46144</v>
      </c>
      <c r="D68" s="10" t="n">
        <v>46234</v>
      </c>
      <c r="E68" s="6" t="n">
        <v>6.49538461538462</v>
      </c>
      <c r="F68" s="11" t="n">
        <v>4.10615384615385</v>
      </c>
      <c r="G68" s="14"/>
      <c r="H68" s="11" t="n">
        <v>334.326461538462</v>
      </c>
      <c r="I68" s="15"/>
      <c r="J68" s="11" t="n">
        <v>1.40937362637363</v>
      </c>
      <c r="K68" s="16" t="s">
        <v>72</v>
      </c>
      <c r="L68" s="8" t="n">
        <v>0.002</v>
      </c>
      <c r="M68" s="17"/>
      <c r="N68" s="8" t="n">
        <v>0.02</v>
      </c>
      <c r="O68" s="16" t="s">
        <v>73</v>
      </c>
      <c r="P68" s="5" t="s">
        <v>42</v>
      </c>
    </row>
    <row r="69" customFormat="false" ht="23.85" hidden="false" customHeight="false" outlineLevel="0" collapsed="false">
      <c r="A69" s="17" t="s">
        <v>17</v>
      </c>
      <c r="B69" s="17" t="s">
        <v>9</v>
      </c>
      <c r="C69" s="18" t="n">
        <v>46235</v>
      </c>
      <c r="D69" s="18" t="n">
        <v>46325</v>
      </c>
      <c r="K69" s="17" t="s">
        <v>74</v>
      </c>
      <c r="L69" s="19" t="n">
        <f aca="false">'Point Estimates'!B52</f>
        <v>-0.0167734512939039</v>
      </c>
      <c r="N69" s="20" t="n">
        <v>0.021</v>
      </c>
      <c r="O69" s="16" t="s">
        <v>75</v>
      </c>
      <c r="P69" s="17" t="s">
        <v>76</v>
      </c>
    </row>
    <row r="70" customFormat="false" ht="23.85" hidden="false" customHeight="false" outlineLevel="0" collapsed="false">
      <c r="A70" s="17" t="s">
        <v>17</v>
      </c>
      <c r="B70" s="17" t="s">
        <v>11</v>
      </c>
      <c r="C70" s="18" t="n">
        <v>46326</v>
      </c>
      <c r="D70" s="18" t="n">
        <v>46416</v>
      </c>
      <c r="K70" s="17" t="s">
        <v>74</v>
      </c>
      <c r="L70" s="19" t="n">
        <f aca="false">'Point Estimates'!B61</f>
        <v>-0.0170230244500911</v>
      </c>
      <c r="N70" s="20" t="n">
        <v>0.021</v>
      </c>
      <c r="O70" s="16" t="s">
        <v>75</v>
      </c>
      <c r="P70" s="17" t="s">
        <v>76</v>
      </c>
    </row>
    <row r="71" customFormat="false" ht="23.85" hidden="false" customHeight="false" outlineLevel="0" collapsed="false">
      <c r="A71" s="17" t="s">
        <v>17</v>
      </c>
      <c r="B71" s="17" t="s">
        <v>13</v>
      </c>
      <c r="C71" s="18" t="n">
        <v>46417</v>
      </c>
      <c r="D71" s="18" t="n">
        <v>46507</v>
      </c>
      <c r="K71" s="17" t="s">
        <v>74</v>
      </c>
      <c r="L71" s="19" t="n">
        <f aca="false">'Point Estimates'!B70</f>
        <v>-0.0365276610425036</v>
      </c>
      <c r="N71" s="20" t="n">
        <v>0.007</v>
      </c>
      <c r="O71" s="16" t="s">
        <v>75</v>
      </c>
      <c r="P71" s="17" t="s">
        <v>76</v>
      </c>
    </row>
    <row r="72" customFormat="false" ht="23.85" hidden="false" customHeight="false" outlineLevel="0" collapsed="false">
      <c r="A72" s="17" t="s">
        <v>17</v>
      </c>
      <c r="B72" s="17" t="s">
        <v>15</v>
      </c>
      <c r="C72" s="18" t="n">
        <v>46508</v>
      </c>
      <c r="D72" s="18" t="n">
        <v>46598</v>
      </c>
      <c r="K72" s="17" t="s">
        <v>74</v>
      </c>
      <c r="L72" s="19" t="n">
        <f aca="false">'Point Estimates'!B79</f>
        <v>-0.0568055461924033</v>
      </c>
      <c r="N72" s="20" t="n">
        <v>0.005</v>
      </c>
      <c r="O72" s="16" t="s">
        <v>75</v>
      </c>
      <c r="P72" s="17" t="s">
        <v>76</v>
      </c>
    </row>
    <row r="74" customFormat="false" ht="39.75" hidden="false" customHeight="true" outlineLevel="0" collapsed="false">
      <c r="A74" s="21" t="s">
        <v>77</v>
      </c>
      <c r="B74" s="21"/>
      <c r="C74" s="21"/>
      <c r="D74" s="21"/>
      <c r="E74" s="21"/>
      <c r="F74" s="21"/>
      <c r="G74" s="21"/>
      <c r="H74" s="21"/>
      <c r="I74" s="21"/>
      <c r="J74" s="21"/>
      <c r="K74" s="21"/>
      <c r="L74" s="21"/>
      <c r="M74" s="21"/>
      <c r="N74" s="21"/>
      <c r="O74" s="21"/>
      <c r="P74" s="21"/>
    </row>
  </sheetData>
  <mergeCells count="3">
    <mergeCell ref="A1:P1"/>
    <mergeCell ref="A2:P2"/>
    <mergeCell ref="A74:P7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2"/>
    <col collapsed="false" customWidth="true" hidden="false" outlineLevel="0" max="4" min="4" style="0" width="18"/>
    <col collapsed="false" customWidth="true" hidden="false" outlineLevel="0" max="5" min="5" style="0" width="22"/>
    <col collapsed="false" customWidth="true" hidden="false" outlineLevel="0" max="6" min="6" style="0" width="16"/>
  </cols>
  <sheetData>
    <row r="1" customFormat="false" ht="17.25" hidden="false" customHeight="true" outlineLevel="0" collapsed="false">
      <c r="A1" s="22" t="s">
        <v>78</v>
      </c>
    </row>
    <row r="2" customFormat="false" ht="135" hidden="false" customHeight="true" outlineLevel="0" collapsed="false">
      <c r="A2" s="2" t="s">
        <v>79</v>
      </c>
      <c r="B2" s="2"/>
      <c r="C2" s="2"/>
      <c r="D2" s="2"/>
      <c r="E2" s="2"/>
      <c r="F2" s="2"/>
      <c r="G2" s="2"/>
    </row>
    <row r="4" customFormat="false" ht="26.25" hidden="false" customHeight="true" outlineLevel="0" collapsed="false">
      <c r="A4" s="3" t="s">
        <v>80</v>
      </c>
      <c r="B4" s="3" t="s">
        <v>81</v>
      </c>
      <c r="C4" s="3" t="s">
        <v>39</v>
      </c>
      <c r="D4" s="3" t="s">
        <v>82</v>
      </c>
      <c r="E4" s="3" t="s">
        <v>83</v>
      </c>
      <c r="F4" s="3" t="s">
        <v>84</v>
      </c>
      <c r="G4" s="3" t="s">
        <v>85</v>
      </c>
    </row>
    <row r="5" customFormat="false" ht="15" hidden="false" customHeight="true" outlineLevel="0" collapsed="false">
      <c r="A5" s="23" t="s">
        <v>86</v>
      </c>
      <c r="B5" s="23" t="s">
        <v>60</v>
      </c>
      <c r="C5" s="23" t="s">
        <v>87</v>
      </c>
      <c r="D5" s="24" t="n">
        <v>511</v>
      </c>
      <c r="E5" s="25" t="n">
        <v>0.044</v>
      </c>
      <c r="F5" s="25" t="n">
        <v>-0.035</v>
      </c>
      <c r="G5" s="25" t="n">
        <v>-0.074</v>
      </c>
    </row>
    <row r="6" customFormat="false" ht="15" hidden="false" customHeight="true" outlineLevel="0" collapsed="false">
      <c r="A6" s="23" t="s">
        <v>88</v>
      </c>
      <c r="B6" s="23" t="s">
        <v>61</v>
      </c>
      <c r="C6" s="23" t="s">
        <v>87</v>
      </c>
      <c r="D6" s="24" t="n">
        <v>510</v>
      </c>
      <c r="E6" s="25" t="n">
        <v>-0.01</v>
      </c>
      <c r="F6" s="25" t="n">
        <v>-0.04</v>
      </c>
      <c r="G6" s="25" t="n">
        <v>-0.062</v>
      </c>
    </row>
    <row r="7" customFormat="false" ht="15" hidden="false" customHeight="true" outlineLevel="0" collapsed="false">
      <c r="A7" s="23" t="s">
        <v>89</v>
      </c>
      <c r="B7" s="23" t="s">
        <v>62</v>
      </c>
      <c r="C7" s="23" t="s">
        <v>87</v>
      </c>
      <c r="D7" s="24" t="n">
        <v>511</v>
      </c>
      <c r="E7" s="25" t="n">
        <v>-0.006</v>
      </c>
      <c r="F7" s="25" t="n">
        <v>-0.032</v>
      </c>
      <c r="G7" s="25" t="n">
        <v>-0.041</v>
      </c>
    </row>
    <row r="8" customFormat="false" ht="15" hidden="false" customHeight="true" outlineLevel="0" collapsed="false">
      <c r="A8" s="23" t="s">
        <v>90</v>
      </c>
      <c r="B8" s="23" t="s">
        <v>63</v>
      </c>
      <c r="C8" s="23" t="s">
        <v>87</v>
      </c>
      <c r="D8" s="24" t="n">
        <v>501</v>
      </c>
      <c r="E8" s="25" t="n">
        <v>-0.023</v>
      </c>
      <c r="F8" s="25" t="n">
        <v>-0.036</v>
      </c>
      <c r="G8" s="25" t="n">
        <v>-0.051</v>
      </c>
    </row>
    <row r="9" customFormat="false" ht="15" hidden="false" customHeight="true" outlineLevel="0" collapsed="false">
      <c r="A9" s="23" t="s">
        <v>91</v>
      </c>
      <c r="B9" s="23" t="s">
        <v>64</v>
      </c>
      <c r="C9" s="23" t="s">
        <v>87</v>
      </c>
      <c r="D9" s="24" t="n">
        <v>498</v>
      </c>
      <c r="E9" s="25" t="n">
        <v>-0.025</v>
      </c>
      <c r="F9" s="25" t="n">
        <v>-0.012</v>
      </c>
      <c r="G9" s="25" t="n">
        <v>-0.011</v>
      </c>
    </row>
    <row r="10" customFormat="false" ht="15" hidden="false" customHeight="true" outlineLevel="0" collapsed="false">
      <c r="A10" s="23" t="s">
        <v>92</v>
      </c>
      <c r="B10" s="23" t="s">
        <v>65</v>
      </c>
      <c r="C10" s="23" t="s">
        <v>87</v>
      </c>
      <c r="D10" s="24" t="n">
        <v>500</v>
      </c>
      <c r="E10" s="25" t="n">
        <v>-0.019</v>
      </c>
      <c r="F10" s="25" t="n">
        <v>0.013</v>
      </c>
      <c r="G10" s="25" t="n">
        <v>0.002</v>
      </c>
    </row>
    <row r="11" customFormat="false" ht="15" hidden="false" customHeight="true" outlineLevel="0" collapsed="false">
      <c r="A11" s="23" t="s">
        <v>93</v>
      </c>
      <c r="B11" s="23" t="s">
        <v>66</v>
      </c>
      <c r="C11" s="23" t="s">
        <v>87</v>
      </c>
      <c r="D11" s="24" t="n">
        <v>511</v>
      </c>
      <c r="E11" s="25" t="n">
        <v>-0.001</v>
      </c>
      <c r="F11" s="25" t="n">
        <v>0.002</v>
      </c>
      <c r="G11" s="25" t="n">
        <v>-0.017</v>
      </c>
    </row>
    <row r="12" customFormat="false" ht="15" hidden="false" customHeight="true" outlineLevel="0" collapsed="false">
      <c r="A12" s="23" t="s">
        <v>94</v>
      </c>
      <c r="B12" s="23" t="s">
        <v>67</v>
      </c>
      <c r="C12" s="23" t="s">
        <v>87</v>
      </c>
      <c r="D12" s="24" t="n">
        <v>507</v>
      </c>
      <c r="E12" s="25" t="n">
        <v>0.012</v>
      </c>
      <c r="F12" s="25" t="n">
        <v>0.014</v>
      </c>
      <c r="G12" s="25" t="n">
        <v>0.011</v>
      </c>
    </row>
    <row r="13" customFormat="false" ht="15" hidden="false" customHeight="true" outlineLevel="0" collapsed="false">
      <c r="A13" s="23" t="s">
        <v>95</v>
      </c>
      <c r="B13" s="23" t="s">
        <v>68</v>
      </c>
      <c r="C13" s="23" t="s">
        <v>87</v>
      </c>
      <c r="D13" s="24" t="n">
        <v>506</v>
      </c>
      <c r="E13" s="25" t="n">
        <v>0.016</v>
      </c>
      <c r="F13" s="25" t="n">
        <v>0.001</v>
      </c>
      <c r="G13" s="25" t="n">
        <v>0.004</v>
      </c>
    </row>
    <row r="14" customFormat="false" ht="15" hidden="false" customHeight="true" outlineLevel="0" collapsed="false">
      <c r="A14" s="23" t="s">
        <v>96</v>
      </c>
      <c r="B14" s="23" t="s">
        <v>69</v>
      </c>
      <c r="C14" s="23" t="s">
        <v>87</v>
      </c>
      <c r="D14" s="24" t="n">
        <v>510</v>
      </c>
      <c r="E14" s="25" t="n">
        <v>0.018</v>
      </c>
      <c r="F14" s="25" t="n">
        <v>0.003</v>
      </c>
      <c r="G14" s="25" t="n">
        <v>0.013</v>
      </c>
    </row>
    <row r="15" customFormat="false" ht="15" hidden="false" customHeight="true" outlineLevel="0" collapsed="false">
      <c r="A15" s="23" t="s">
        <v>97</v>
      </c>
      <c r="B15" s="23" t="s">
        <v>70</v>
      </c>
      <c r="C15" s="23" t="s">
        <v>87</v>
      </c>
      <c r="D15" s="24" t="n">
        <v>520</v>
      </c>
      <c r="E15" s="25" t="n">
        <v>0.019</v>
      </c>
      <c r="F15" s="25" t="n">
        <v>0.004</v>
      </c>
      <c r="G15" s="25" t="n">
        <v>0.006</v>
      </c>
    </row>
    <row r="16" customFormat="false" ht="15" hidden="false" customHeight="true" outlineLevel="0" collapsed="false">
      <c r="A16" s="23" t="s">
        <v>98</v>
      </c>
      <c r="B16" s="23" t="s">
        <v>71</v>
      </c>
      <c r="C16" s="23" t="s">
        <v>87</v>
      </c>
      <c r="D16" s="24" t="n">
        <v>517</v>
      </c>
      <c r="E16" s="25" t="n">
        <v>0.02</v>
      </c>
      <c r="F16" s="25" t="n">
        <v>0.013</v>
      </c>
      <c r="G16" s="25" t="n">
        <v>0.002</v>
      </c>
    </row>
    <row r="17" customFormat="false" ht="15" hidden="false" customHeight="true" outlineLevel="0" collapsed="false">
      <c r="A17" s="26" t="s">
        <v>99</v>
      </c>
      <c r="B17" s="26" t="s">
        <v>9</v>
      </c>
      <c r="C17" s="26" t="s">
        <v>76</v>
      </c>
      <c r="D17" s="27" t="n">
        <v>517</v>
      </c>
      <c r="E17" s="28" t="n">
        <v>0.021</v>
      </c>
    </row>
    <row r="18" customFormat="false" ht="15" hidden="false" customHeight="true" outlineLevel="0" collapsed="false">
      <c r="A18" s="26" t="s">
        <v>100</v>
      </c>
      <c r="B18" s="26" t="s">
        <v>11</v>
      </c>
      <c r="C18" s="26" t="s">
        <v>76</v>
      </c>
      <c r="D18" s="27" t="n">
        <v>520</v>
      </c>
      <c r="E18" s="28" t="n">
        <v>0.021</v>
      </c>
    </row>
    <row r="19" customFormat="false" ht="15" hidden="false" customHeight="true" outlineLevel="0" collapsed="false">
      <c r="A19" s="26" t="s">
        <v>101</v>
      </c>
      <c r="B19" s="26" t="s">
        <v>13</v>
      </c>
      <c r="C19" s="26" t="s">
        <v>76</v>
      </c>
      <c r="D19" s="27" t="n">
        <v>524</v>
      </c>
      <c r="E19" s="28" t="n">
        <v>0.007</v>
      </c>
    </row>
    <row r="20" customFormat="false" ht="15" hidden="false" customHeight="true" outlineLevel="0" collapsed="false">
      <c r="A20" s="26" t="s">
        <v>102</v>
      </c>
      <c r="B20" s="26" t="s">
        <v>15</v>
      </c>
      <c r="C20" s="26" t="s">
        <v>76</v>
      </c>
      <c r="D20" s="27" t="n">
        <v>519</v>
      </c>
      <c r="E20" s="28" t="n">
        <v>0.005</v>
      </c>
    </row>
    <row r="22" customFormat="false" ht="30" hidden="false" customHeight="true" outlineLevel="0" collapsed="false">
      <c r="A22" s="21" t="s">
        <v>103</v>
      </c>
      <c r="B22" s="21"/>
      <c r="C22" s="21"/>
      <c r="D22" s="21"/>
      <c r="E22" s="21"/>
      <c r="F22" s="21"/>
      <c r="G22" s="21"/>
    </row>
    <row r="24" customFormat="false" ht="15" hidden="false" customHeight="true" outlineLevel="0" collapsed="false">
      <c r="A24" s="29" t="s">
        <v>104</v>
      </c>
    </row>
    <row r="25" customFormat="false" ht="30" hidden="false" customHeight="true" outlineLevel="0" collapsed="false">
      <c r="A25" s="2" t="s">
        <v>105</v>
      </c>
      <c r="B25" s="2"/>
      <c r="C25" s="2"/>
      <c r="D25" s="2"/>
      <c r="E25" s="2"/>
      <c r="F25" s="2"/>
      <c r="G25" s="2"/>
    </row>
    <row r="27" customFormat="false" ht="26.25" hidden="false" customHeight="true" outlineLevel="0" collapsed="false">
      <c r="A27" s="3" t="s">
        <v>2</v>
      </c>
      <c r="B27" s="3" t="s">
        <v>106</v>
      </c>
      <c r="C27" s="3" t="s">
        <v>107</v>
      </c>
      <c r="D27" s="3" t="s">
        <v>108</v>
      </c>
      <c r="E27" s="3" t="s">
        <v>109</v>
      </c>
      <c r="F27" s="3" t="s">
        <v>110</v>
      </c>
    </row>
    <row r="28" customFormat="false" ht="15" hidden="false" customHeight="true" outlineLevel="0" collapsed="false">
      <c r="A28" s="23" t="s">
        <v>8</v>
      </c>
      <c r="B28" s="30" t="n">
        <f aca="false">IFERROR(CORREL(E5:E16,F5:F16),"n/a")</f>
        <v>0.182701464302808</v>
      </c>
      <c r="C28" s="30" t="n">
        <f aca="false">IFERROR(CORREL(E5:E15,F6:F16),"n/a")</f>
        <v>-0.179086469480307</v>
      </c>
      <c r="D28" s="30" t="n">
        <f aca="false">IFERROR(CORREL(E5:E14,F7:F16),"n/a")</f>
        <v>-0.348528085622884</v>
      </c>
      <c r="E28" s="30" t="n">
        <f aca="false">IFERROR(CORREL(E5:E13,F8:F16),"n/a")</f>
        <v>-0.603092734394037</v>
      </c>
      <c r="F28" s="31" t="n">
        <f aca="false">COUNT(F5:F16)</f>
        <v>12</v>
      </c>
    </row>
    <row r="29" customFormat="false" ht="15" hidden="false" customHeight="true" outlineLevel="0" collapsed="false">
      <c r="A29" s="23" t="s">
        <v>17</v>
      </c>
      <c r="B29" s="30" t="n">
        <f aca="false">IFERROR(CORREL(E5:E16,G5:G16),"n/a")</f>
        <v>0.0613948342507385</v>
      </c>
      <c r="C29" s="30" t="n">
        <f aca="false">IFERROR(CORREL(E5:E15,G6:G16),"n/a")</f>
        <v>-0.135048043446194</v>
      </c>
      <c r="D29" s="30" t="n">
        <f aca="false">IFERROR(CORREL(E5:E14,G7:G16),"n/a")</f>
        <v>-0.167047251600764</v>
      </c>
      <c r="E29" s="30" t="n">
        <f aca="false">IFERROR(CORREL(E5:E13,G8:G16),"n/a")</f>
        <v>-0.58287727205052</v>
      </c>
      <c r="F29" s="31" t="n">
        <f aca="false">COUNT(G5:G16)</f>
        <v>12</v>
      </c>
    </row>
    <row r="31" customFormat="false" ht="15" hidden="false" customHeight="true" outlineLevel="0" collapsed="false">
      <c r="A31" s="29" t="s">
        <v>111</v>
      </c>
    </row>
    <row r="32" customFormat="false" ht="69.75" hidden="false" customHeight="true" outlineLevel="0" collapsed="false">
      <c r="A32" s="32" t="s">
        <v>112</v>
      </c>
      <c r="B32" s="32"/>
      <c r="C32" s="32"/>
      <c r="D32" s="32"/>
      <c r="E32" s="32"/>
      <c r="F32" s="32"/>
      <c r="G32" s="32"/>
    </row>
    <row r="33" customFormat="false" ht="84" hidden="false" customHeight="true" outlineLevel="0" collapsed="false">
      <c r="A33" s="32" t="s">
        <v>113</v>
      </c>
      <c r="B33" s="32"/>
      <c r="C33" s="32"/>
      <c r="D33" s="32"/>
      <c r="E33" s="32"/>
      <c r="F33" s="32"/>
      <c r="G33" s="32"/>
    </row>
    <row r="34" customFormat="false" ht="84" hidden="false" customHeight="true" outlineLevel="0" collapsed="false">
      <c r="A34" s="32" t="s">
        <v>114</v>
      </c>
      <c r="B34" s="32"/>
      <c r="C34" s="32"/>
      <c r="D34" s="32"/>
      <c r="E34" s="32"/>
      <c r="F34" s="32"/>
      <c r="G34" s="32"/>
    </row>
  </sheetData>
  <mergeCells count="6">
    <mergeCell ref="A2:G2"/>
    <mergeCell ref="A22:G22"/>
    <mergeCell ref="A25:G25"/>
    <mergeCell ref="A32:G32"/>
    <mergeCell ref="A33:G33"/>
    <mergeCell ref="A34:G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8" min="3" style="0" width="20"/>
  </cols>
  <sheetData>
    <row r="1" customFormat="false" ht="17.35" hidden="false" customHeight="false" outlineLevel="0" collapsed="false">
      <c r="A1" s="33" t="s">
        <v>115</v>
      </c>
    </row>
    <row r="2" customFormat="false" ht="105" hidden="false" customHeight="true" outlineLevel="0" collapsed="false">
      <c r="A2" s="2" t="s">
        <v>116</v>
      </c>
      <c r="B2" s="2"/>
      <c r="C2" s="2"/>
      <c r="D2" s="2"/>
      <c r="E2" s="2"/>
      <c r="F2" s="2"/>
      <c r="G2" s="2"/>
      <c r="H2" s="2"/>
    </row>
    <row r="4" customFormat="false" ht="15" hidden="false" customHeight="false" outlineLevel="0" collapsed="false">
      <c r="A4" s="9" t="s">
        <v>117</v>
      </c>
    </row>
    <row r="5" customFormat="false" ht="26.85" hidden="false" customHeight="false" outlineLevel="0" collapsed="false">
      <c r="A5" s="3" t="s">
        <v>3</v>
      </c>
      <c r="B5" s="3" t="s">
        <v>35</v>
      </c>
      <c r="C5" s="3" t="s">
        <v>118</v>
      </c>
      <c r="D5" s="3" t="s">
        <v>29</v>
      </c>
      <c r="E5" s="3" t="s">
        <v>30</v>
      </c>
      <c r="F5" s="3" t="s">
        <v>31</v>
      </c>
      <c r="G5" s="3" t="s">
        <v>119</v>
      </c>
      <c r="H5" s="3" t="s">
        <v>120</v>
      </c>
    </row>
    <row r="6" customFormat="false" ht="15" hidden="false" customHeight="false" outlineLevel="0" collapsed="false">
      <c r="A6" s="5" t="s">
        <v>40</v>
      </c>
      <c r="B6" s="8" t="n">
        <v>0.03</v>
      </c>
      <c r="C6" s="11" t="n">
        <f aca="false">'Quarterly Data'!E5</f>
        <v>4.25</v>
      </c>
      <c r="D6" s="11" t="n">
        <f aca="false">'Quarterly Data'!F5</f>
        <v>5.29296703296703</v>
      </c>
      <c r="E6" s="11" t="n">
        <f aca="false">'Quarterly Data'!G5</f>
        <v>0.688046075566726</v>
      </c>
      <c r="F6" s="11" t="n">
        <f aca="false">'Quarterly Data'!H5</f>
        <v>254.357824175824</v>
      </c>
      <c r="G6" s="12" t="n">
        <f aca="false">'Quarterly Data'!I5</f>
        <v>96.8285714285714</v>
      </c>
      <c r="H6" s="11" t="n">
        <f aca="false">'Quarterly Data'!J5</f>
        <v>1.30428571428571</v>
      </c>
    </row>
    <row r="7" customFormat="false" ht="15" hidden="false" customHeight="false" outlineLevel="0" collapsed="false">
      <c r="A7" s="5" t="s">
        <v>43</v>
      </c>
      <c r="B7" s="8" t="n">
        <v>0.031</v>
      </c>
      <c r="C7" s="11" t="n">
        <f aca="false">'Quarterly Data'!E6</f>
        <v>3.86461538461538</v>
      </c>
      <c r="D7" s="11" t="n">
        <f aca="false">'Quarterly Data'!F6</f>
        <v>5.35076923076923</v>
      </c>
      <c r="E7" s="11" t="n">
        <f aca="false">'Quarterly Data'!G6</f>
        <v>0.668984535994869</v>
      </c>
      <c r="F7" s="11" t="n">
        <f aca="false">'Quarterly Data'!H6</f>
        <v>256.292472527473</v>
      </c>
      <c r="G7" s="12" t="n">
        <f aca="false">'Quarterly Data'!I6</f>
        <v>98.4131868131868</v>
      </c>
      <c r="H7" s="11" t="n">
        <f aca="false">'Quarterly Data'!J6</f>
        <v>1.34801098901099</v>
      </c>
    </row>
    <row r="8" customFormat="false" ht="15" hidden="false" customHeight="false" outlineLevel="0" collapsed="false">
      <c r="A8" s="5" t="s">
        <v>44</v>
      </c>
      <c r="B8" s="8" t="n">
        <v>0.038</v>
      </c>
      <c r="C8" s="11" t="n">
        <f aca="false">'Quarterly Data'!E7</f>
        <v>3.63</v>
      </c>
      <c r="D8" s="11" t="n">
        <f aca="false">'Quarterly Data'!F7</f>
        <v>5.4389010989011</v>
      </c>
      <c r="E8" s="11" t="n">
        <f aca="false">'Quarterly Data'!G7</f>
        <v>0.715343973233013</v>
      </c>
      <c r="F8" s="11" t="n">
        <f aca="false">'Quarterly Data'!H7</f>
        <v>256.914131868132</v>
      </c>
      <c r="G8" s="12" t="n">
        <f aca="false">'Quarterly Data'!I7</f>
        <v>93.0934065934066</v>
      </c>
      <c r="H8" s="11" t="n">
        <f aca="false">'Quarterly Data'!J7</f>
        <v>1.49342857142857</v>
      </c>
    </row>
    <row r="9" customFormat="false" ht="15" hidden="false" customHeight="false" outlineLevel="0" collapsed="false">
      <c r="A9" s="5" t="s">
        <v>45</v>
      </c>
      <c r="B9" s="8" t="n">
        <v>0.053</v>
      </c>
      <c r="C9" s="11" t="n">
        <f aca="false">'Quarterly Data'!E8</f>
        <v>3.67538461538462</v>
      </c>
      <c r="D9" s="11" t="n">
        <f aca="false">'Quarterly Data'!F8</f>
        <v>5.46142857142857</v>
      </c>
      <c r="E9" s="11" t="n">
        <f aca="false">'Quarterly Data'!G8</f>
        <v>0.700049511291828</v>
      </c>
      <c r="F9" s="11" t="n">
        <f aca="false">'Quarterly Data'!H8</f>
        <v>257.420516483517</v>
      </c>
      <c r="G9" s="12" t="n">
        <f aca="false">'Quarterly Data'!I8</f>
        <v>98.7659340659341</v>
      </c>
      <c r="H9" s="11" t="n">
        <f aca="false">'Quarterly Data'!J8</f>
        <v>1.4867032967033</v>
      </c>
    </row>
    <row r="10" customFormat="false" ht="15" hidden="false" customHeight="false" outlineLevel="0" collapsed="false">
      <c r="A10" s="5" t="s">
        <v>46</v>
      </c>
      <c r="B10" s="8" t="n">
        <v>0.075</v>
      </c>
      <c r="C10" s="11" t="n">
        <f aca="false">'Quarterly Data'!E9</f>
        <v>3.39923076923077</v>
      </c>
      <c r="D10" s="11" t="n">
        <f aca="false">'Quarterly Data'!F9</f>
        <v>5.06362637362637</v>
      </c>
      <c r="E10" s="11" t="n">
        <f aca="false">'Quarterly Data'!G9</f>
        <v>0.636342658108226</v>
      </c>
      <c r="F10" s="11" t="n">
        <f aca="false">'Quarterly Data'!H9</f>
        <v>257.656296703297</v>
      </c>
      <c r="G10" s="12" t="n">
        <f aca="false">'Quarterly Data'!I9</f>
        <v>86.3736263736264</v>
      </c>
      <c r="H10" s="11" t="n">
        <f aca="false">'Quarterly Data'!J9</f>
        <v>1.29067032967033</v>
      </c>
    </row>
    <row r="11" customFormat="false" ht="15" hidden="false" customHeight="false" outlineLevel="0" collapsed="false">
      <c r="A11" s="5" t="s">
        <v>47</v>
      </c>
      <c r="B11" s="8" t="n">
        <v>0.25</v>
      </c>
      <c r="C11" s="11" t="n">
        <f aca="false">'Quarterly Data'!E10</f>
        <v>3.12769230769231</v>
      </c>
      <c r="D11" s="11" t="n">
        <f aca="false">'Quarterly Data'!F10</f>
        <v>4.88725274725275</v>
      </c>
      <c r="E11" s="11" t="n">
        <f aca="false">'Quarterly Data'!G10</f>
        <v>0.871104611218942</v>
      </c>
      <c r="F11" s="11" t="n">
        <f aca="false">'Quarterly Data'!H10</f>
        <v>257.856142857143</v>
      </c>
      <c r="G11" s="12" t="n">
        <f aca="false">'Quarterly Data'!I10</f>
        <v>74.3197802197802</v>
      </c>
      <c r="H11" s="11" t="n">
        <f aca="false">'Quarterly Data'!J10</f>
        <v>1.38236263736264</v>
      </c>
    </row>
    <row r="12" customFormat="false" ht="15" hidden="false" customHeight="false" outlineLevel="0" collapsed="false">
      <c r="A12" s="5" t="s">
        <v>48</v>
      </c>
      <c r="B12" s="8" t="n">
        <v>0.246</v>
      </c>
      <c r="C12" s="11" t="n">
        <f aca="false">'Quarterly Data'!E11</f>
        <v>2.88230769230769</v>
      </c>
      <c r="D12" s="11" t="n">
        <f aca="false">'Quarterly Data'!F11</f>
        <v>6.47516483516484</v>
      </c>
      <c r="E12" s="11" t="n">
        <f aca="false">'Quarterly Data'!G11</f>
        <v>1.00715984700393</v>
      </c>
      <c r="F12" s="11" t="n">
        <f aca="false">'Quarterly Data'!H11</f>
        <v>260.200868131868</v>
      </c>
      <c r="G12" s="12" t="n">
        <f aca="false">'Quarterly Data'!I11</f>
        <v>78.8307692307692</v>
      </c>
      <c r="H12" s="11" t="n">
        <f aca="false">'Quarterly Data'!J11</f>
        <v>1.60054945054945</v>
      </c>
    </row>
    <row r="13" customFormat="false" ht="15" hidden="false" customHeight="false" outlineLevel="0" collapsed="false">
      <c r="A13" s="5" t="s">
        <v>49</v>
      </c>
      <c r="B13" s="8" t="n">
        <v>0.25</v>
      </c>
      <c r="C13" s="11" t="n">
        <f aca="false">'Quarterly Data'!E12</f>
        <v>2.72461538461539</v>
      </c>
      <c r="D13" s="11" t="n">
        <f aca="false">'Quarterly Data'!F12</f>
        <v>6.71384615384616</v>
      </c>
      <c r="E13" s="11" t="n">
        <f aca="false">'Quarterly Data'!G12</f>
        <v>0.883299003726231</v>
      </c>
      <c r="F13" s="11" t="n">
        <f aca="false">'Quarterly Data'!H12</f>
        <v>260.773373626374</v>
      </c>
      <c r="G13" s="12" t="n">
        <f aca="false">'Quarterly Data'!I12</f>
        <v>78.9098901098901</v>
      </c>
      <c r="H13" s="11" t="n">
        <f aca="false">'Quarterly Data'!J12</f>
        <v>1.76932967032967</v>
      </c>
    </row>
    <row r="14" customFormat="false" ht="15" hidden="false" customHeight="false" outlineLevel="0" collapsed="false">
      <c r="A14" s="5" t="s">
        <v>50</v>
      </c>
      <c r="B14" s="8" t="n">
        <v>0.299</v>
      </c>
      <c r="C14" s="11" t="n">
        <f aca="false">'Quarterly Data'!E13</f>
        <v>2.99</v>
      </c>
      <c r="D14" s="11" t="n">
        <f aca="false">'Quarterly Data'!F13</f>
        <v>6.01725274725275</v>
      </c>
      <c r="E14" s="11" t="n">
        <f aca="false">'Quarterly Data'!G13</f>
        <v>0.812874818639003</v>
      </c>
      <c r="F14" s="11" t="n">
        <f aca="false">'Quarterly Data'!H13</f>
        <v>265.116362637363</v>
      </c>
      <c r="G14" s="12" t="n">
        <f aca="false">'Quarterly Data'!I13</f>
        <v>83.4846153846154</v>
      </c>
      <c r="H14" s="11" t="n">
        <f aca="false">'Quarterly Data'!J13</f>
        <v>1.72340659340659</v>
      </c>
    </row>
    <row r="15" customFormat="false" ht="15" hidden="false" customHeight="false" outlineLevel="0" collapsed="false">
      <c r="A15" s="5" t="s">
        <v>51</v>
      </c>
      <c r="B15" s="8" t="n">
        <v>0.034</v>
      </c>
      <c r="C15" s="11" t="n">
        <f aca="false">'Quarterly Data'!E14</f>
        <v>2.93</v>
      </c>
      <c r="D15" s="11" t="n">
        <f aca="false">'Quarterly Data'!F14</f>
        <v>5.88538461538462</v>
      </c>
      <c r="E15" s="11" t="n">
        <f aca="false">'Quarterly Data'!G14</f>
        <v>0.725166323077545</v>
      </c>
      <c r="F15" s="11" t="n">
        <f aca="false">'Quarterly Data'!H14</f>
        <v>271.36478021978</v>
      </c>
      <c r="G15" s="12" t="n">
        <f aca="false">'Quarterly Data'!I14</f>
        <v>83.0395604395605</v>
      </c>
      <c r="H15" s="11" t="n">
        <f aca="false">'Quarterly Data'!J14</f>
        <v>1.67792307692308</v>
      </c>
    </row>
    <row r="16" customFormat="false" ht="15" hidden="false" customHeight="false" outlineLevel="0" collapsed="false">
      <c r="A16" s="5" t="s">
        <v>52</v>
      </c>
      <c r="B16" s="8" t="n">
        <v>0.055</v>
      </c>
      <c r="C16" s="11" t="n">
        <f aca="false">'Quarterly Data'!E15</f>
        <v>2.93384615384615</v>
      </c>
      <c r="D16" s="11" t="n">
        <f aca="false">'Quarterly Data'!F15</f>
        <v>6.17186813186813</v>
      </c>
      <c r="E16" s="11" t="n">
        <f aca="false">'Quarterly Data'!G15</f>
        <v>0.703190318804171</v>
      </c>
      <c r="F16" s="11" t="n">
        <f aca="false">'Quarterly Data'!H15</f>
        <v>274.841417582418</v>
      </c>
      <c r="G16" s="12" t="n">
        <f aca="false">'Quarterly Data'!I15</f>
        <v>71.6010989010989</v>
      </c>
      <c r="H16" s="11" t="n">
        <f aca="false">'Quarterly Data'!J15</f>
        <v>1.69603296703297</v>
      </c>
    </row>
    <row r="17" customFormat="false" ht="15" hidden="false" customHeight="false" outlineLevel="0" collapsed="false">
      <c r="A17" s="5" t="s">
        <v>53</v>
      </c>
      <c r="B17" s="8" t="n">
        <v>0.076</v>
      </c>
      <c r="C17" s="11" t="n">
        <f aca="false">'Quarterly Data'!E16</f>
        <v>3.19538461538462</v>
      </c>
      <c r="D17" s="11" t="n">
        <f aca="false">'Quarterly Data'!F16</f>
        <v>6.3778021978022</v>
      </c>
      <c r="E17" s="11" t="n">
        <f aca="false">'Quarterly Data'!G16</f>
        <v>0.802473134029057</v>
      </c>
      <c r="F17" s="11" t="n">
        <f aca="false">'Quarterly Data'!H16</f>
        <v>279.293868131868</v>
      </c>
      <c r="G17" s="12" t="n">
        <f aca="false">'Quarterly Data'!I16</f>
        <v>68.4241758241758</v>
      </c>
      <c r="H17" s="11" t="n">
        <f aca="false">'Quarterly Data'!J16</f>
        <v>1.85995604395604</v>
      </c>
    </row>
    <row r="18" customFormat="false" ht="15" hidden="false" customHeight="false" outlineLevel="0" collapsed="false">
      <c r="A18" s="5" t="s">
        <v>54</v>
      </c>
      <c r="B18" s="8" t="n">
        <v>0.017</v>
      </c>
      <c r="C18" s="11" t="n">
        <f aca="false">'Quarterly Data'!E17</f>
        <v>4.29538461538462</v>
      </c>
      <c r="D18" s="11" t="n">
        <f aca="false">'Quarterly Data'!F17</f>
        <v>5.79824175824176</v>
      </c>
      <c r="E18" s="11" t="n">
        <f aca="false">'Quarterly Data'!G17</f>
        <v>0.700783853632723</v>
      </c>
      <c r="F18" s="11" t="n">
        <f aca="false">'Quarterly Data'!H17</f>
        <v>286.850395604396</v>
      </c>
      <c r="G18" s="12" t="n">
        <f aca="false">'Quarterly Data'!I17</f>
        <v>62.432967032967</v>
      </c>
      <c r="H18" s="11" t="n">
        <f aca="false">'Quarterly Data'!J17</f>
        <v>1.86440659340659</v>
      </c>
    </row>
    <row r="19" customFormat="false" ht="15" hidden="false" customHeight="false" outlineLevel="0" collapsed="false">
      <c r="A19" s="5" t="s">
        <v>55</v>
      </c>
      <c r="B19" s="8" t="n">
        <v>0.054</v>
      </c>
      <c r="C19" s="11" t="n">
        <f aca="false">'Quarterly Data'!E18</f>
        <v>5.39846153846154</v>
      </c>
      <c r="D19" s="11" t="n">
        <f aca="false">'Quarterly Data'!F18</f>
        <v>5.11</v>
      </c>
      <c r="E19" s="11" t="n">
        <f aca="false">'Quarterly Data'!G18</f>
        <v>0.578920044907451</v>
      </c>
      <c r="F19" s="11" t="n">
        <f aca="false">'Quarterly Data'!H18</f>
        <v>294.975450549451</v>
      </c>
      <c r="G19" s="12" t="n">
        <f aca="false">'Quarterly Data'!I18</f>
        <v>53.2802197802198</v>
      </c>
      <c r="H19" s="11" t="n">
        <f aca="false">'Quarterly Data'!J18</f>
        <v>1.71458241758242</v>
      </c>
    </row>
    <row r="20" customFormat="false" ht="15" hidden="false" customHeight="false" outlineLevel="0" collapsed="false">
      <c r="A20" s="5" t="s">
        <v>56</v>
      </c>
      <c r="B20" s="8" t="n">
        <v>0.045</v>
      </c>
      <c r="C20" s="11" t="n">
        <f aca="false">'Quarterly Data'!E19</f>
        <v>6.08076923076923</v>
      </c>
      <c r="D20" s="11" t="n">
        <f aca="false">'Quarterly Data'!F19</f>
        <v>4.64835164835165</v>
      </c>
      <c r="E20" s="11" t="n">
        <f aca="false">'Quarterly Data'!G19</f>
        <v>0.591019449188036</v>
      </c>
      <c r="F20" s="11" t="n">
        <f aca="false">'Quarterly Data'!H19</f>
        <v>296.987923076923</v>
      </c>
      <c r="G20" s="12" t="n">
        <f aca="false">'Quarterly Data'!I19</f>
        <v>58.8923076923077</v>
      </c>
      <c r="H20" s="11" t="n">
        <f aca="false">'Quarterly Data'!J19</f>
        <v>1.57785714285714</v>
      </c>
    </row>
    <row r="21" customFormat="false" ht="15" hidden="false" customHeight="false" outlineLevel="0" collapsed="false">
      <c r="A21" s="5" t="s">
        <v>57</v>
      </c>
      <c r="B21" s="8" t="n">
        <v>-0.003</v>
      </c>
      <c r="C21" s="11" t="n">
        <f aca="false">'Quarterly Data'!E20</f>
        <v>6.47153846153846</v>
      </c>
      <c r="D21" s="11" t="n">
        <f aca="false">'Quarterly Data'!F20</f>
        <v>4.04120879120879</v>
      </c>
      <c r="E21" s="11" t="n">
        <f aca="false">'Quarterly Data'!G20</f>
        <v>0.619183548672466</v>
      </c>
      <c r="F21" s="11" t="n">
        <f aca="false">'Quarterly Data'!H20</f>
        <v>297.867901098901</v>
      </c>
      <c r="G21" s="12" t="n">
        <f aca="false">'Quarterly Data'!I20</f>
        <v>60.4043956043956</v>
      </c>
      <c r="H21" s="11" t="n">
        <f aca="false">'Quarterly Data'!J20</f>
        <v>1.41497802197802</v>
      </c>
    </row>
    <row r="22" customFormat="false" ht="15" hidden="false" customHeight="false" outlineLevel="0" collapsed="false">
      <c r="A22" s="5" t="s">
        <v>58</v>
      </c>
      <c r="B22" s="8" t="n">
        <v>-0.046</v>
      </c>
      <c r="C22" s="11" t="n">
        <f aca="false">'Quarterly Data'!E21</f>
        <v>6.39384615384615</v>
      </c>
      <c r="D22" s="11" t="n">
        <f aca="false">'Quarterly Data'!F21</f>
        <v>4.42065934065934</v>
      </c>
      <c r="E22" s="11" t="n">
        <f aca="false">'Quarterly Data'!G21</f>
        <v>0.642963914766169</v>
      </c>
      <c r="F22" s="11" t="n">
        <f aca="false">'Quarterly Data'!H21</f>
        <v>301.974351648352</v>
      </c>
      <c r="G22" s="12" t="n">
        <f aca="false">'Quarterly Data'!I21</f>
        <v>64.1318681318681</v>
      </c>
      <c r="H22" s="11" t="n">
        <f aca="false">'Quarterly Data'!J21</f>
        <v>1.51503296703297</v>
      </c>
    </row>
    <row r="23" customFormat="false" ht="15" hidden="false" customHeight="false" outlineLevel="0" collapsed="false">
      <c r="A23" s="5" t="s">
        <v>59</v>
      </c>
      <c r="B23" s="8" t="n">
        <v>-0.02</v>
      </c>
      <c r="C23" s="11" t="n">
        <f aca="false">'Quarterly Data'!E22</f>
        <v>6.66384615384615</v>
      </c>
      <c r="D23" s="11" t="n">
        <f aca="false">'Quarterly Data'!F22</f>
        <v>4.17802197802198</v>
      </c>
      <c r="E23" s="11" t="n">
        <f aca="false">'Quarterly Data'!G22</f>
        <v>0.717081330524156</v>
      </c>
      <c r="F23" s="11" t="n">
        <f aca="false">'Quarterly Data'!H22</f>
        <v>304.966340659341</v>
      </c>
      <c r="G23" s="12" t="n">
        <f aca="false">'Quarterly Data'!I22</f>
        <v>64.8351648351648</v>
      </c>
      <c r="H23" s="11" t="n">
        <f aca="false">'Quarterly Data'!J22</f>
        <v>1.51932967032967</v>
      </c>
    </row>
    <row r="24" customFormat="false" ht="15" hidden="false" customHeight="false" outlineLevel="0" collapsed="false">
      <c r="A24" s="5" t="s">
        <v>60</v>
      </c>
      <c r="B24" s="8" t="n">
        <v>-0.035</v>
      </c>
      <c r="C24" s="11" t="n">
        <f aca="false">'Quarterly Data'!E23</f>
        <v>7.28</v>
      </c>
      <c r="D24" s="11" t="n">
        <f aca="false">'Quarterly Data'!F23</f>
        <v>3.93428571428571</v>
      </c>
      <c r="E24" s="11" t="n">
        <f aca="false">'Quarterly Data'!G23</f>
        <v>0.672120797516015</v>
      </c>
      <c r="F24" s="11" t="n">
        <f aca="false">'Quarterly Data'!H23</f>
        <v>307.468417582418</v>
      </c>
      <c r="G24" s="12" t="n">
        <f aca="false">'Quarterly Data'!I23</f>
        <v>67.110989010989</v>
      </c>
      <c r="H24" s="11" t="n">
        <f aca="false">'Quarterly Data'!J23</f>
        <v>1.55057142857143</v>
      </c>
    </row>
    <row r="25" customFormat="false" ht="15" hidden="false" customHeight="false" outlineLevel="0" collapsed="false">
      <c r="A25" s="5" t="s">
        <v>61</v>
      </c>
      <c r="B25" s="8" t="n">
        <v>-0.04</v>
      </c>
      <c r="C25" s="11" t="n">
        <f aca="false">'Quarterly Data'!E24</f>
        <v>7.00307692307692</v>
      </c>
      <c r="D25" s="11" t="n">
        <f aca="false">'Quarterly Data'!F24</f>
        <v>3.8610989010989</v>
      </c>
      <c r="E25" s="11" t="n">
        <f aca="false">'Quarterly Data'!G24</f>
        <v>0.641567655314305</v>
      </c>
      <c r="F25" s="11" t="n">
        <f aca="false">'Quarterly Data'!H24</f>
        <v>307.381032967033</v>
      </c>
      <c r="G25" s="12" t="n">
        <f aca="false">'Quarterly Data'!I24</f>
        <v>69.6626373626374</v>
      </c>
      <c r="H25" s="11" t="n">
        <f aca="false">'Quarterly Data'!J24</f>
        <v>1.51992307692308</v>
      </c>
    </row>
    <row r="26" customFormat="false" ht="15" hidden="false" customHeight="false" outlineLevel="0" collapsed="false">
      <c r="A26" s="5" t="s">
        <v>62</v>
      </c>
      <c r="B26" s="8" t="n">
        <v>-0.032</v>
      </c>
      <c r="C26" s="11" t="n">
        <f aca="false">'Quarterly Data'!E25</f>
        <v>6.85615384615385</v>
      </c>
      <c r="D26" s="11" t="n">
        <f aca="false">'Quarterly Data'!F25</f>
        <v>4.2289010989011</v>
      </c>
      <c r="E26" s="11" t="n">
        <f aca="false">'Quarterly Data'!G25</f>
        <v>0.679846280051129</v>
      </c>
      <c r="F26" s="11" t="n">
        <f aca="false">'Quarterly Data'!H25</f>
        <v>311.937813186813</v>
      </c>
      <c r="G26" s="12" t="n">
        <f aca="false">'Quarterly Data'!I25</f>
        <v>77.9131868131868</v>
      </c>
      <c r="H26" s="11" t="n">
        <f aca="false">'Quarterly Data'!J25</f>
        <v>1.50251648351648</v>
      </c>
    </row>
    <row r="27" customFormat="false" ht="15" hidden="false" customHeight="false" outlineLevel="0" collapsed="false">
      <c r="A27" s="5" t="s">
        <v>63</v>
      </c>
      <c r="B27" s="8" t="n">
        <v>-0.036</v>
      </c>
      <c r="C27" s="11" t="n">
        <f aca="false">'Quarterly Data'!E26</f>
        <v>6.95076923076923</v>
      </c>
      <c r="D27" s="11" t="n">
        <f aca="false">'Quarterly Data'!F26</f>
        <v>3.9889010989011</v>
      </c>
      <c r="E27" s="11" t="n">
        <f aca="false">'Quarterly Data'!G26</f>
        <v>0.694062082698877</v>
      </c>
      <c r="F27" s="11" t="n">
        <f aca="false">'Quarterly Data'!H26</f>
        <v>314.237417582418</v>
      </c>
      <c r="G27" s="12" t="n">
        <f aca="false">'Quarterly Data'!I26</f>
        <v>68.1505494505495</v>
      </c>
      <c r="H27" s="11" t="n">
        <f aca="false">'Quarterly Data'!J26</f>
        <v>1.43715384615385</v>
      </c>
    </row>
    <row r="28" customFormat="false" ht="15" hidden="false" customHeight="false" outlineLevel="0" collapsed="false">
      <c r="A28" s="5" t="s">
        <v>64</v>
      </c>
      <c r="B28" s="8" t="n">
        <v>-0.012</v>
      </c>
      <c r="C28" s="11" t="n">
        <f aca="false">'Quarterly Data'!E27</f>
        <v>6.35692307692308</v>
      </c>
      <c r="D28" s="11" t="n">
        <f aca="false">'Quarterly Data'!F27</f>
        <v>3.88604395604396</v>
      </c>
      <c r="E28" s="11" t="n">
        <f aca="false">'Quarterly Data'!G27</f>
        <v>0.681628377481683</v>
      </c>
      <c r="F28" s="11" t="n">
        <f aca="false">'Quarterly Data'!H27</f>
        <v>315.211582417582</v>
      </c>
      <c r="G28" s="12" t="n">
        <f aca="false">'Quarterly Data'!I27</f>
        <v>69.3472527472528</v>
      </c>
      <c r="H28" s="11" t="n">
        <f aca="false">'Quarterly Data'!J27</f>
        <v>1.45023076923077</v>
      </c>
    </row>
    <row r="29" customFormat="false" ht="15" hidden="false" customHeight="false" outlineLevel="0" collapsed="false">
      <c r="A29" s="5" t="s">
        <v>65</v>
      </c>
      <c r="B29" s="8" t="n">
        <v>0.013</v>
      </c>
      <c r="C29" s="11" t="n">
        <f aca="false">'Quarterly Data'!E28</f>
        <v>6.82785714285714</v>
      </c>
      <c r="D29" s="11" t="n">
        <f aca="false">'Quarterly Data'!F28</f>
        <v>4.15081632653061</v>
      </c>
      <c r="E29" s="11" t="n">
        <f aca="false">'Quarterly Data'!G28</f>
        <v>0.676056474900412</v>
      </c>
      <c r="F29" s="11" t="n">
        <f aca="false">'Quarterly Data'!H28</f>
        <v>316.297612244898</v>
      </c>
      <c r="G29" s="12" t="n">
        <f aca="false">'Quarterly Data'!I28</f>
        <v>72.2663265306123</v>
      </c>
      <c r="H29" s="11" t="n">
        <f aca="false">'Quarterly Data'!J28</f>
        <v>1.47777551020408</v>
      </c>
    </row>
    <row r="30" customFormat="false" ht="15" hidden="false" customHeight="false" outlineLevel="0" collapsed="false">
      <c r="A30" s="5" t="s">
        <v>66</v>
      </c>
      <c r="B30" s="8" t="n">
        <v>0.002</v>
      </c>
      <c r="C30" s="11" t="n">
        <f aca="false">'Quarterly Data'!E29</f>
        <v>6.74076923076923</v>
      </c>
      <c r="D30" s="11" t="n">
        <f aca="false">'Quarterly Data'!F29</f>
        <v>4.08241758241758</v>
      </c>
      <c r="E30" s="11" t="n">
        <f aca="false">'Quarterly Data'!G29</f>
        <v>0.665150037078984</v>
      </c>
      <c r="F30" s="11" t="n">
        <f aca="false">'Quarterly Data'!H29</f>
        <v>319.995725274725</v>
      </c>
      <c r="G30" s="12" t="n">
        <f aca="false">'Quarterly Data'!I29</f>
        <v>57.4065934065934</v>
      </c>
      <c r="H30" s="11" t="n">
        <f aca="false">'Quarterly Data'!J29</f>
        <v>1.46002197802198</v>
      </c>
    </row>
    <row r="31" customFormat="false" ht="15" hidden="false" customHeight="false" outlineLevel="0" collapsed="false">
      <c r="A31" s="5" t="s">
        <v>67</v>
      </c>
      <c r="B31" s="8" t="n">
        <v>0.014</v>
      </c>
      <c r="C31" s="11" t="n">
        <f aca="false">'Quarterly Data'!E30</f>
        <v>6.78384615384615</v>
      </c>
      <c r="D31" s="11" t="n">
        <f aca="false">'Quarterly Data'!F30</f>
        <v>3.98923076923077</v>
      </c>
      <c r="E31" s="11" t="n">
        <f aca="false">'Quarterly Data'!G30</f>
        <v>0.647620086157546</v>
      </c>
      <c r="F31" s="11" t="n">
        <f aca="false">'Quarterly Data'!H30</f>
        <v>322.448362637363</v>
      </c>
      <c r="G31" s="12" t="n">
        <f aca="false">'Quarterly Data'!I30</f>
        <v>58.4362637362637</v>
      </c>
      <c r="H31" s="11" t="n">
        <f aca="false">'Quarterly Data'!J30</f>
        <v>1.40267032967033</v>
      </c>
    </row>
    <row r="32" customFormat="false" ht="15" hidden="false" customHeight="false" outlineLevel="0" collapsed="false">
      <c r="A32" s="5" t="s">
        <v>68</v>
      </c>
      <c r="B32" s="8" t="n">
        <v>0.001</v>
      </c>
      <c r="C32" s="11" t="n">
        <f aca="false">'Quarterly Data'!E31</f>
        <v>6.38692307692308</v>
      </c>
      <c r="D32" s="11" t="n">
        <f aca="false">'Quarterly Data'!F31</f>
        <v>4.0567032967033</v>
      </c>
      <c r="E32" s="11" t="n">
        <f aca="false">'Quarterly Data'!G31</f>
        <v>0.688953576043563</v>
      </c>
      <c r="F32" s="11" t="n">
        <f aca="false">'Quarterly Data'!H31</f>
        <v>324.416076923077</v>
      </c>
      <c r="G32" s="12" t="n">
        <f aca="false">'Quarterly Data'!I31</f>
        <v>55.4527472527473</v>
      </c>
      <c r="H32" s="11" t="n">
        <f aca="false">'Quarterly Data'!J31</f>
        <v>1.40463736263736</v>
      </c>
    </row>
    <row r="33" customFormat="false" ht="15" hidden="false" customHeight="false" outlineLevel="0" collapsed="false">
      <c r="A33" s="5" t="s">
        <v>69</v>
      </c>
      <c r="B33" s="8" t="n">
        <v>0.003</v>
      </c>
      <c r="C33" s="11" t="n">
        <f aca="false">'Quarterly Data'!E32</f>
        <v>6.17769230769231</v>
      </c>
      <c r="D33" s="11" t="n">
        <f aca="false">'Quarterly Data'!F32</f>
        <v>4.12956043956044</v>
      </c>
      <c r="E33" s="11" t="n">
        <f aca="false">'Quarterly Data'!G32</f>
        <v>0.682602266729797</v>
      </c>
      <c r="F33" s="11" t="n">
        <f aca="false">'Quarterly Data'!H32</f>
        <v>324.513043956044</v>
      </c>
      <c r="G33" s="12" t="n">
        <f aca="false">'Quarterly Data'!I32</f>
        <v>53.5483516483516</v>
      </c>
      <c r="H33" s="11" t="n">
        <f aca="false">'Quarterly Data'!J32</f>
        <v>1.4313956043956</v>
      </c>
    </row>
    <row r="34" customFormat="false" ht="15" hidden="false" customHeight="false" outlineLevel="0" collapsed="false">
      <c r="A34" s="5" t="s">
        <v>70</v>
      </c>
      <c r="B34" s="8" t="n">
        <v>0.004</v>
      </c>
      <c r="C34" s="11" t="n">
        <f aca="false">'Quarterly Data'!E33</f>
        <v>6.19692307692308</v>
      </c>
      <c r="D34" s="11" t="n">
        <f aca="false">'Quarterly Data'!F33</f>
        <v>4.03208791208791</v>
      </c>
      <c r="E34" s="11" t="n">
        <f aca="false">'Quarterly Data'!G33</f>
        <v>0.644751132279414</v>
      </c>
      <c r="F34" s="11" t="n">
        <f aca="false">'Quarterly Data'!H33</f>
        <v>330.283153846154</v>
      </c>
      <c r="G34" s="12" t="n">
        <f aca="false">'Quarterly Data'!I33</f>
        <v>52.8450549450549</v>
      </c>
      <c r="H34" s="11" t="n">
        <f aca="false">'Quarterly Data'!J33</f>
        <v>1.43684615384615</v>
      </c>
    </row>
    <row r="35" customFormat="false" ht="15" hidden="false" customHeight="false" outlineLevel="0" collapsed="false">
      <c r="A35" s="5" t="s">
        <v>71</v>
      </c>
      <c r="B35" s="8" t="n">
        <v>0.013</v>
      </c>
      <c r="C35" s="11" t="n">
        <f aca="false">'Quarterly Data'!E34</f>
        <v>6.49538461538462</v>
      </c>
      <c r="D35" s="11" t="n">
        <f aca="false">'Quarterly Data'!F34</f>
        <v>0</v>
      </c>
      <c r="E35" s="11" t="n">
        <f aca="false">'Quarterly Data'!G34</f>
        <v>0</v>
      </c>
      <c r="F35" s="11" t="n">
        <f aca="false">'Quarterly Data'!H34</f>
        <v>0</v>
      </c>
      <c r="G35" s="12" t="n">
        <f aca="false">'Quarterly Data'!I34</f>
        <v>0</v>
      </c>
      <c r="H35" s="11" t="n">
        <f aca="false">'Quarterly Data'!J34</f>
        <v>0</v>
      </c>
    </row>
    <row r="37" customFormat="false" ht="15" hidden="false" customHeight="false" outlineLevel="0" collapsed="false">
      <c r="A37" s="9" t="s">
        <v>121</v>
      </c>
    </row>
    <row r="38" customFormat="false" ht="26.85" hidden="false" customHeight="false" outlineLevel="0" collapsed="false">
      <c r="A38" s="3" t="s">
        <v>3</v>
      </c>
      <c r="B38" s="3" t="s">
        <v>35</v>
      </c>
      <c r="C38" s="3" t="s">
        <v>118</v>
      </c>
      <c r="D38" s="3" t="s">
        <v>29</v>
      </c>
      <c r="E38" s="3" t="s">
        <v>30</v>
      </c>
      <c r="F38" s="3" t="s">
        <v>31</v>
      </c>
      <c r="G38" s="3" t="s">
        <v>119</v>
      </c>
      <c r="H38" s="3" t="s">
        <v>120</v>
      </c>
    </row>
    <row r="39" customFormat="false" ht="15" hidden="false" customHeight="false" outlineLevel="0" collapsed="false">
      <c r="A39" s="5" t="s">
        <v>40</v>
      </c>
      <c r="B39" s="8" t="n">
        <v>0.042</v>
      </c>
      <c r="C39" s="11" t="n">
        <f aca="false">'Quarterly Data'!E39</f>
        <v>4.25</v>
      </c>
      <c r="D39" s="11" t="n">
        <f aca="false">'Quarterly Data'!F39</f>
        <v>5.2967032967033</v>
      </c>
      <c r="E39" s="11" t="n">
        <f aca="false">'Quarterly Data'!G39</f>
        <v>0.688694690980751</v>
      </c>
      <c r="F39" s="11" t="n">
        <f aca="false">'Quarterly Data'!H39</f>
        <v>254.284945054945</v>
      </c>
      <c r="G39" s="12" t="n">
        <f aca="false">'Quarterly Data'!I39</f>
        <v>96.6923076923077</v>
      </c>
      <c r="H39" s="11" t="n">
        <f aca="false">'Quarterly Data'!J39</f>
        <v>1.30294505494506</v>
      </c>
    </row>
    <row r="40" customFormat="false" ht="15" hidden="false" customHeight="false" outlineLevel="0" collapsed="false">
      <c r="A40" s="5" t="s">
        <v>43</v>
      </c>
      <c r="B40" s="8" t="n">
        <v>0.032</v>
      </c>
      <c r="C40" s="11" t="n">
        <f aca="false">'Quarterly Data'!E40</f>
        <v>3.86461538461538</v>
      </c>
      <c r="D40" s="11" t="n">
        <f aca="false">'Quarterly Data'!F40</f>
        <v>5.34747252747253</v>
      </c>
      <c r="E40" s="11" t="n">
        <f aca="false">'Quarterly Data'!G40</f>
        <v>0.666928638996663</v>
      </c>
      <c r="F40" s="11" t="n">
        <f aca="false">'Quarterly Data'!H40</f>
        <v>256.282230769231</v>
      </c>
      <c r="G40" s="12" t="n">
        <f aca="false">'Quarterly Data'!I40</f>
        <v>98.6373626373626</v>
      </c>
      <c r="H40" s="11" t="n">
        <f aca="false">'Quarterly Data'!J40</f>
        <v>1.34504395604396</v>
      </c>
    </row>
    <row r="41" customFormat="false" ht="15" hidden="false" customHeight="false" outlineLevel="0" collapsed="false">
      <c r="A41" s="5" t="s">
        <v>44</v>
      </c>
      <c r="B41" s="8" t="n">
        <v>0.03</v>
      </c>
      <c r="C41" s="11" t="n">
        <f aca="false">'Quarterly Data'!E41</f>
        <v>3.63</v>
      </c>
      <c r="D41" s="11" t="n">
        <f aca="false">'Quarterly Data'!F41</f>
        <v>5.44197802197802</v>
      </c>
      <c r="E41" s="11" t="n">
        <f aca="false">'Quarterly Data'!G41</f>
        <v>0.715325720731326</v>
      </c>
      <c r="F41" s="11" t="n">
        <f aca="false">'Quarterly Data'!H41</f>
        <v>256.899846153846</v>
      </c>
      <c r="G41" s="12" t="n">
        <f aca="false">'Quarterly Data'!I41</f>
        <v>92.9395604395604</v>
      </c>
      <c r="H41" s="11" t="n">
        <f aca="false">'Quarterly Data'!J41</f>
        <v>1.49226373626374</v>
      </c>
    </row>
    <row r="42" customFormat="false" ht="15" hidden="false" customHeight="false" outlineLevel="0" collapsed="false">
      <c r="A42" s="5" t="s">
        <v>45</v>
      </c>
      <c r="B42" s="8" t="n">
        <v>0.026</v>
      </c>
      <c r="C42" s="11" t="n">
        <f aca="false">'Quarterly Data'!E42</f>
        <v>3.67538461538462</v>
      </c>
      <c r="D42" s="11" t="n">
        <f aca="false">'Quarterly Data'!F42</f>
        <v>5.4521978021978</v>
      </c>
      <c r="E42" s="11" t="n">
        <f aca="false">'Quarterly Data'!G42</f>
        <v>0.700167886680452</v>
      </c>
      <c r="F42" s="11" t="n">
        <f aca="false">'Quarterly Data'!H42</f>
        <v>257.388208791209</v>
      </c>
      <c r="G42" s="12" t="n">
        <f aca="false">'Quarterly Data'!I42</f>
        <v>98.6736263736264</v>
      </c>
      <c r="H42" s="11" t="n">
        <f aca="false">'Quarterly Data'!J42</f>
        <v>1.48832967032967</v>
      </c>
    </row>
    <row r="43" customFormat="false" ht="15" hidden="false" customHeight="false" outlineLevel="0" collapsed="false">
      <c r="A43" s="5" t="s">
        <v>46</v>
      </c>
      <c r="B43" s="8" t="n">
        <v>0.123</v>
      </c>
      <c r="C43" s="11" t="n">
        <f aca="false">'Quarterly Data'!E43</f>
        <v>3.39923076923077</v>
      </c>
      <c r="D43" s="11" t="n">
        <f aca="false">'Quarterly Data'!F43</f>
        <v>5.1045054945055</v>
      </c>
      <c r="E43" s="11" t="n">
        <f aca="false">'Quarterly Data'!G43</f>
        <v>0.636343112460091</v>
      </c>
      <c r="F43" s="11" t="n">
        <f aca="false">'Quarterly Data'!H43</f>
        <v>257.706494505495</v>
      </c>
      <c r="G43" s="12" t="n">
        <f aca="false">'Quarterly Data'!I43</f>
        <v>87.0043956043956</v>
      </c>
      <c r="H43" s="11" t="n">
        <f aca="false">'Quarterly Data'!J43</f>
        <v>1.29528571428571</v>
      </c>
    </row>
    <row r="44" customFormat="false" ht="15" hidden="false" customHeight="false" outlineLevel="0" collapsed="false">
      <c r="A44" s="5" t="s">
        <v>47</v>
      </c>
      <c r="B44" s="8" t="n">
        <v>0.351</v>
      </c>
      <c r="C44" s="11" t="n">
        <f aca="false">'Quarterly Data'!E44</f>
        <v>3.12769230769231</v>
      </c>
      <c r="D44" s="11" t="n">
        <f aca="false">'Quarterly Data'!F44</f>
        <v>4.84131868131868</v>
      </c>
      <c r="E44" s="11" t="n">
        <f aca="false">'Quarterly Data'!G44</f>
        <v>0.864324574718959</v>
      </c>
      <c r="F44" s="11" t="n">
        <f aca="false">'Quarterly Data'!H44</f>
        <v>257.778692307692</v>
      </c>
      <c r="G44" s="12" t="n">
        <f aca="false">'Quarterly Data'!I44</f>
        <v>74.2802197802198</v>
      </c>
      <c r="H44" s="11" t="n">
        <f aca="false">'Quarterly Data'!J44</f>
        <v>1.37614285714286</v>
      </c>
    </row>
    <row r="45" customFormat="false" ht="15" hidden="false" customHeight="false" outlineLevel="0" collapsed="false">
      <c r="A45" s="5" t="s">
        <v>48</v>
      </c>
      <c r="B45" s="8" t="n">
        <v>0.304</v>
      </c>
      <c r="C45" s="11" t="n">
        <f aca="false">'Quarterly Data'!E45</f>
        <v>2.88230769230769</v>
      </c>
      <c r="D45" s="11" t="n">
        <f aca="false">'Quarterly Data'!F45</f>
        <v>6.45824175824176</v>
      </c>
      <c r="E45" s="11" t="n">
        <f aca="false">'Quarterly Data'!G45</f>
        <v>1.0085209926236</v>
      </c>
      <c r="F45" s="11" t="n">
        <f aca="false">'Quarterly Data'!H45</f>
        <v>260.192285714286</v>
      </c>
      <c r="G45" s="12" t="n">
        <f aca="false">'Quarterly Data'!I45</f>
        <v>78.7153846153846</v>
      </c>
      <c r="H45" s="11" t="n">
        <f aca="false">'Quarterly Data'!J45</f>
        <v>1.59795604395604</v>
      </c>
    </row>
    <row r="46" customFormat="false" ht="15" hidden="false" customHeight="false" outlineLevel="0" collapsed="false">
      <c r="A46" s="5" t="s">
        <v>49</v>
      </c>
      <c r="B46" s="8" t="n">
        <v>0.286</v>
      </c>
      <c r="C46" s="11" t="n">
        <f aca="false">'Quarterly Data'!E46</f>
        <v>2.72461538461539</v>
      </c>
      <c r="D46" s="11" t="n">
        <f aca="false">'Quarterly Data'!F46</f>
        <v>6.7156043956044</v>
      </c>
      <c r="E46" s="11" t="n">
        <f aca="false">'Quarterly Data'!G46</f>
        <v>0.884505798686037</v>
      </c>
      <c r="F46" s="11" t="n">
        <f aca="false">'Quarterly Data'!H46</f>
        <v>260.745384615385</v>
      </c>
      <c r="G46" s="12" t="n">
        <f aca="false">'Quarterly Data'!I46</f>
        <v>78.9175824175824</v>
      </c>
      <c r="H46" s="11" t="n">
        <f aca="false">'Quarterly Data'!J46</f>
        <v>1.76484615384615</v>
      </c>
    </row>
    <row r="47" customFormat="false" ht="15" hidden="false" customHeight="false" outlineLevel="0" collapsed="false">
      <c r="A47" s="5" t="s">
        <v>50</v>
      </c>
      <c r="B47" s="8" t="n">
        <v>0.244</v>
      </c>
      <c r="C47" s="11" t="n">
        <f aca="false">'Quarterly Data'!E47</f>
        <v>2.99</v>
      </c>
      <c r="D47" s="11" t="n">
        <f aca="false">'Quarterly Data'!F47</f>
        <v>6.03681318681319</v>
      </c>
      <c r="E47" s="11" t="n">
        <f aca="false">'Quarterly Data'!G47</f>
        <v>0.816873080619641</v>
      </c>
      <c r="F47" s="11" t="n">
        <f aca="false">'Quarterly Data'!H47</f>
        <v>264.949043956044</v>
      </c>
      <c r="G47" s="12" t="n">
        <f aca="false">'Quarterly Data'!I47</f>
        <v>83.3989010989011</v>
      </c>
      <c r="H47" s="11" t="n">
        <f aca="false">'Quarterly Data'!J47</f>
        <v>1.72672527472527</v>
      </c>
    </row>
    <row r="48" customFormat="false" ht="15" hidden="false" customHeight="false" outlineLevel="0" collapsed="false">
      <c r="A48" s="5" t="s">
        <v>51</v>
      </c>
      <c r="B48" s="8" t="n">
        <v>-0.022</v>
      </c>
      <c r="C48" s="11" t="n">
        <f aca="false">'Quarterly Data'!E48</f>
        <v>2.93</v>
      </c>
      <c r="D48" s="11" t="n">
        <f aca="false">'Quarterly Data'!F48</f>
        <v>5.88241758241758</v>
      </c>
      <c r="E48" s="11" t="n">
        <f aca="false">'Quarterly Data'!G48</f>
        <v>0.725175794418979</v>
      </c>
      <c r="F48" s="11" t="n">
        <f aca="false">'Quarterly Data'!H48</f>
        <v>271.27489010989</v>
      </c>
      <c r="G48" s="12" t="n">
        <f aca="false">'Quarterly Data'!I48</f>
        <v>83.1967032967033</v>
      </c>
      <c r="H48" s="11" t="n">
        <f aca="false">'Quarterly Data'!J48</f>
        <v>1.67796703296703</v>
      </c>
    </row>
    <row r="49" customFormat="false" ht="15" hidden="false" customHeight="false" outlineLevel="0" collapsed="false">
      <c r="A49" s="5" t="s">
        <v>52</v>
      </c>
      <c r="B49" s="8" t="n">
        <v>0.026</v>
      </c>
      <c r="C49" s="11" t="n">
        <f aca="false">'Quarterly Data'!E49</f>
        <v>2.93384615384615</v>
      </c>
      <c r="D49" s="11" t="n">
        <f aca="false">'Quarterly Data'!F49</f>
        <v>6.16296703296703</v>
      </c>
      <c r="E49" s="11" t="n">
        <f aca="false">'Quarterly Data'!G49</f>
        <v>0.703790134836729</v>
      </c>
      <c r="F49" s="11" t="n">
        <f aca="false">'Quarterly Data'!H49</f>
        <v>274.768802197802</v>
      </c>
      <c r="G49" s="12" t="n">
        <f aca="false">'Quarterly Data'!I49</f>
        <v>71.6901098901099</v>
      </c>
      <c r="H49" s="11" t="n">
        <f aca="false">'Quarterly Data'!J49</f>
        <v>1.69612087912088</v>
      </c>
    </row>
    <row r="50" customFormat="false" ht="15" hidden="false" customHeight="false" outlineLevel="0" collapsed="false">
      <c r="A50" s="5" t="s">
        <v>53</v>
      </c>
      <c r="B50" s="8" t="n">
        <v>0.051</v>
      </c>
      <c r="C50" s="11" t="n">
        <f aca="false">'Quarterly Data'!E50</f>
        <v>3.19538461538462</v>
      </c>
      <c r="D50" s="11" t="n">
        <f aca="false">'Quarterly Data'!F50</f>
        <v>6.37428571428571</v>
      </c>
      <c r="E50" s="11" t="n">
        <f aca="false">'Quarterly Data'!G50</f>
        <v>0.799834466650506</v>
      </c>
      <c r="F50" s="11" t="n">
        <f aca="false">'Quarterly Data'!H50</f>
        <v>279.19367032967</v>
      </c>
      <c r="G50" s="12" t="n">
        <f aca="false">'Quarterly Data'!I50</f>
        <v>68.5230769230769</v>
      </c>
      <c r="H50" s="11" t="n">
        <f aca="false">'Quarterly Data'!J50</f>
        <v>1.85503296703297</v>
      </c>
    </row>
    <row r="51" customFormat="false" ht="15" hidden="false" customHeight="false" outlineLevel="0" collapsed="false">
      <c r="A51" s="5" t="s">
        <v>54</v>
      </c>
      <c r="B51" s="8" t="n">
        <v>-0.038</v>
      </c>
      <c r="C51" s="11" t="n">
        <f aca="false">'Quarterly Data'!E51</f>
        <v>4.29538461538462</v>
      </c>
      <c r="D51" s="11" t="n">
        <f aca="false">'Quarterly Data'!F51</f>
        <v>5.82</v>
      </c>
      <c r="E51" s="11" t="n">
        <f aca="false">'Quarterly Data'!G51</f>
        <v>0.704820741485501</v>
      </c>
      <c r="F51" s="11" t="n">
        <f aca="false">'Quarterly Data'!H51</f>
        <v>286.640406593407</v>
      </c>
      <c r="G51" s="12" t="n">
        <f aca="false">'Quarterly Data'!I51</f>
        <v>62.5516483516483</v>
      </c>
      <c r="H51" s="11" t="n">
        <f aca="false">'Quarterly Data'!J51</f>
        <v>1.86754945054945</v>
      </c>
    </row>
    <row r="52" customFormat="false" ht="15" hidden="false" customHeight="false" outlineLevel="0" collapsed="false">
      <c r="A52" s="5" t="s">
        <v>55</v>
      </c>
      <c r="B52" s="8" t="n">
        <v>0.002</v>
      </c>
      <c r="C52" s="11" t="n">
        <f aca="false">'Quarterly Data'!E52</f>
        <v>5.39846153846154</v>
      </c>
      <c r="D52" s="11" t="n">
        <f aca="false">'Quarterly Data'!F52</f>
        <v>5.12538461538462</v>
      </c>
      <c r="E52" s="11" t="n">
        <f aca="false">'Quarterly Data'!G52</f>
        <v>0.580911599859474</v>
      </c>
      <c r="F52" s="11" t="n">
        <f aca="false">'Quarterly Data'!H52</f>
        <v>294.852956043956</v>
      </c>
      <c r="G52" s="12" t="n">
        <f aca="false">'Quarterly Data'!I52</f>
        <v>53.5065934065934</v>
      </c>
      <c r="H52" s="11" t="n">
        <f aca="false">'Quarterly Data'!J52</f>
        <v>1.71618681318681</v>
      </c>
    </row>
    <row r="53" customFormat="false" ht="15" hidden="false" customHeight="false" outlineLevel="0" collapsed="false">
      <c r="A53" s="5" t="s">
        <v>56</v>
      </c>
      <c r="B53" s="8" t="n">
        <v>0.03</v>
      </c>
      <c r="C53" s="11" t="n">
        <f aca="false">'Quarterly Data'!E53</f>
        <v>6.08076923076923</v>
      </c>
      <c r="D53" s="11" t="n">
        <f aca="false">'Quarterly Data'!F53</f>
        <v>4.6567032967033</v>
      </c>
      <c r="E53" s="11" t="n">
        <f aca="false">'Quarterly Data'!G53</f>
        <v>0.589904203845624</v>
      </c>
      <c r="F53" s="11" t="n">
        <f aca="false">'Quarterly Data'!H53</f>
        <v>296.949769230769</v>
      </c>
      <c r="G53" s="12" t="n">
        <f aca="false">'Quarterly Data'!I53</f>
        <v>58.7076923076923</v>
      </c>
      <c r="H53" s="11" t="n">
        <f aca="false">'Quarterly Data'!J53</f>
        <v>1.58058241758242</v>
      </c>
    </row>
    <row r="54" customFormat="false" ht="15" hidden="false" customHeight="false" outlineLevel="0" collapsed="false">
      <c r="A54" s="5" t="s">
        <v>57</v>
      </c>
      <c r="B54" s="8" t="n">
        <v>-0.007</v>
      </c>
      <c r="C54" s="11" t="n">
        <f aca="false">'Quarterly Data'!E54</f>
        <v>6.44428571428571</v>
      </c>
      <c r="D54" s="11" t="n">
        <f aca="false">'Quarterly Data'!F54</f>
        <v>4.06479591836735</v>
      </c>
      <c r="E54" s="11" t="n">
        <f aca="false">'Quarterly Data'!G54</f>
        <v>0.619602470784543</v>
      </c>
      <c r="F54" s="11" t="n">
        <f aca="false">'Quarterly Data'!H54</f>
        <v>297.988397959184</v>
      </c>
      <c r="G54" s="12" t="n">
        <f aca="false">'Quarterly Data'!I54</f>
        <v>60.684693877551</v>
      </c>
      <c r="H54" s="11" t="n">
        <f aca="false">'Quarterly Data'!J54</f>
        <v>1.42428571428571</v>
      </c>
    </row>
    <row r="55" customFormat="false" ht="15" hidden="false" customHeight="false" outlineLevel="0" collapsed="false">
      <c r="A55" s="5" t="s">
        <v>58</v>
      </c>
      <c r="B55" s="8" t="n">
        <v>-0.043</v>
      </c>
      <c r="C55" s="11" t="n">
        <f aca="false">'Quarterly Data'!E55</f>
        <v>6.41692307692308</v>
      </c>
      <c r="D55" s="11" t="n">
        <f aca="false">'Quarterly Data'!F55</f>
        <v>4.41802197802198</v>
      </c>
      <c r="E55" s="11" t="n">
        <f aca="false">'Quarterly Data'!G55</f>
        <v>0.648209800638444</v>
      </c>
      <c r="F55" s="11" t="n">
        <f aca="false">'Quarterly Data'!H55</f>
        <v>302.191659340659</v>
      </c>
      <c r="G55" s="12" t="n">
        <f aca="false">'Quarterly Data'!I55</f>
        <v>63.7417582417582</v>
      </c>
      <c r="H55" s="11" t="n">
        <f aca="false">'Quarterly Data'!J55</f>
        <v>1.51771428571429</v>
      </c>
    </row>
    <row r="56" customFormat="false" ht="15" hidden="false" customHeight="false" outlineLevel="0" collapsed="false">
      <c r="A56" s="5" t="s">
        <v>59</v>
      </c>
      <c r="B56" s="8" t="n">
        <v>-0.016</v>
      </c>
      <c r="C56" s="11" t="n">
        <f aca="false">'Quarterly Data'!E56</f>
        <v>6.70307692307692</v>
      </c>
      <c r="D56" s="11" t="n">
        <f aca="false">'Quarterly Data'!F56</f>
        <v>4.16406593406593</v>
      </c>
      <c r="E56" s="11" t="n">
        <f aca="false">'Quarterly Data'!G56</f>
        <v>0.712983890411852</v>
      </c>
      <c r="F56" s="11" t="n">
        <f aca="false">'Quarterly Data'!H56</f>
        <v>305.110956043956</v>
      </c>
      <c r="G56" s="12" t="n">
        <f aca="false">'Quarterly Data'!I56</f>
        <v>65.4296703296703</v>
      </c>
      <c r="H56" s="11" t="n">
        <f aca="false">'Quarterly Data'!J56</f>
        <v>1.51953846153846</v>
      </c>
    </row>
    <row r="57" customFormat="false" ht="15" hidden="false" customHeight="false" outlineLevel="0" collapsed="false">
      <c r="A57" s="5" t="s">
        <v>60</v>
      </c>
      <c r="B57" s="8" t="n">
        <v>-0.074</v>
      </c>
      <c r="C57" s="11" t="n">
        <f aca="false">'Quarterly Data'!E57</f>
        <v>7.34615384615385</v>
      </c>
      <c r="D57" s="11" t="n">
        <f aca="false">'Quarterly Data'!F57</f>
        <v>3.92120879120879</v>
      </c>
      <c r="E57" s="11" t="n">
        <f aca="false">'Quarterly Data'!G57</f>
        <v>0.67092257627151</v>
      </c>
      <c r="F57" s="11" t="n">
        <f aca="false">'Quarterly Data'!H57</f>
        <v>307.498087912088</v>
      </c>
      <c r="G57" s="12" t="n">
        <f aca="false">'Quarterly Data'!I57</f>
        <v>66.6978021978022</v>
      </c>
      <c r="H57" s="11" t="n">
        <f aca="false">'Quarterly Data'!J57</f>
        <v>1.54697802197802</v>
      </c>
    </row>
    <row r="58" customFormat="false" ht="15" hidden="false" customHeight="false" outlineLevel="0" collapsed="false">
      <c r="A58" s="5" t="s">
        <v>61</v>
      </c>
      <c r="B58" s="8" t="n">
        <v>-0.062</v>
      </c>
      <c r="C58" s="11" t="n">
        <f aca="false">'Quarterly Data'!E58</f>
        <v>6.91615384615385</v>
      </c>
      <c r="D58" s="11" t="n">
        <f aca="false">'Quarterly Data'!F58</f>
        <v>3.88</v>
      </c>
      <c r="E58" s="11" t="n">
        <f aca="false">'Quarterly Data'!G58</f>
        <v>0.643276120706392</v>
      </c>
      <c r="F58" s="11" t="n">
        <f aca="false">'Quarterly Data'!H58</f>
        <v>307.484417582418</v>
      </c>
      <c r="G58" s="12" t="n">
        <f aca="false">'Quarterly Data'!I58</f>
        <v>70.5340659340659</v>
      </c>
      <c r="H58" s="11" t="n">
        <f aca="false">'Quarterly Data'!J58</f>
        <v>1.52208791208791</v>
      </c>
    </row>
    <row r="59" customFormat="false" ht="15" hidden="false" customHeight="false" outlineLevel="0" collapsed="false">
      <c r="A59" s="5" t="s">
        <v>62</v>
      </c>
      <c r="B59" s="8" t="n">
        <v>-0.041</v>
      </c>
      <c r="C59" s="11" t="n">
        <f aca="false">'Quarterly Data'!E59</f>
        <v>6.90153846153846</v>
      </c>
      <c r="D59" s="11" t="n">
        <f aca="false">'Quarterly Data'!F59</f>
        <v>4.22725274725275</v>
      </c>
      <c r="E59" s="11" t="n">
        <f aca="false">'Quarterly Data'!G59</f>
        <v>0.680571884316908</v>
      </c>
      <c r="F59" s="11" t="n">
        <f aca="false">'Quarterly Data'!H59</f>
        <v>312.194956043956</v>
      </c>
      <c r="G59" s="12" t="n">
        <f aca="false">'Quarterly Data'!I59</f>
        <v>77.5934065934066</v>
      </c>
      <c r="H59" s="11" t="n">
        <f aca="false">'Quarterly Data'!J59</f>
        <v>1.4952967032967</v>
      </c>
    </row>
    <row r="60" customFormat="false" ht="15" hidden="false" customHeight="false" outlineLevel="0" collapsed="false">
      <c r="A60" s="5" t="s">
        <v>63</v>
      </c>
      <c r="B60" s="8" t="n">
        <v>-0.051</v>
      </c>
      <c r="C60" s="11" t="n">
        <f aca="false">'Quarterly Data'!E60</f>
        <v>6.91307692307692</v>
      </c>
      <c r="D60" s="11" t="n">
        <f aca="false">'Quarterly Data'!F60</f>
        <v>3.97747252747253</v>
      </c>
      <c r="E60" s="11" t="n">
        <f aca="false">'Quarterly Data'!G60</f>
        <v>0.695702954040849</v>
      </c>
      <c r="F60" s="11" t="n">
        <f aca="false">'Quarterly Data'!H60</f>
        <v>314.280373626374</v>
      </c>
      <c r="G60" s="12" t="n">
        <f aca="false">'Quarterly Data'!I60</f>
        <v>67.8571428571429</v>
      </c>
      <c r="H60" s="11" t="n">
        <f aca="false">'Quarterly Data'!J60</f>
        <v>1.43936263736264</v>
      </c>
    </row>
    <row r="61" customFormat="false" ht="15" hidden="false" customHeight="false" outlineLevel="0" collapsed="false">
      <c r="A61" s="5" t="s">
        <v>64</v>
      </c>
      <c r="B61" s="8" t="n">
        <v>-0.011</v>
      </c>
      <c r="C61" s="11" t="n">
        <f aca="false">'Quarterly Data'!E61</f>
        <v>6.35615384615385</v>
      </c>
      <c r="D61" s="11" t="n">
        <f aca="false">'Quarterly Data'!F61</f>
        <v>3.89065934065934</v>
      </c>
      <c r="E61" s="11" t="n">
        <f aca="false">'Quarterly Data'!G61</f>
        <v>0.677541206077834</v>
      </c>
      <c r="F61" s="11" t="n">
        <f aca="false">'Quarterly Data'!H61</f>
        <v>315.265835164835</v>
      </c>
      <c r="G61" s="12" t="n">
        <f aca="false">'Quarterly Data'!I61</f>
        <v>69.5538461538462</v>
      </c>
      <c r="H61" s="11" t="n">
        <f aca="false">'Quarterly Data'!J61</f>
        <v>1.4493956043956</v>
      </c>
    </row>
    <row r="62" customFormat="false" ht="15" hidden="false" customHeight="false" outlineLevel="0" collapsed="false">
      <c r="A62" s="5" t="s">
        <v>65</v>
      </c>
      <c r="B62" s="8" t="n">
        <v>0.002</v>
      </c>
      <c r="C62" s="11" t="n">
        <f aca="false">'Quarterly Data'!E62</f>
        <v>6.83615384615385</v>
      </c>
      <c r="D62" s="11" t="n">
        <f aca="false">'Quarterly Data'!F62</f>
        <v>4.15681318681319</v>
      </c>
      <c r="E62" s="11" t="n">
        <f aca="false">'Quarterly Data'!G62</f>
        <v>0.678821881989723</v>
      </c>
      <c r="F62" s="11" t="n">
        <f aca="false">'Quarterly Data'!H62</f>
        <v>316.27310989011</v>
      </c>
      <c r="G62" s="12" t="n">
        <f aca="false">'Quarterly Data'!I62</f>
        <v>72.5153846153846</v>
      </c>
      <c r="H62" s="11" t="n">
        <f aca="false">'Quarterly Data'!J62</f>
        <v>1.47997802197802</v>
      </c>
    </row>
    <row r="63" customFormat="false" ht="15" hidden="false" customHeight="false" outlineLevel="0" collapsed="false">
      <c r="A63" s="5" t="s">
        <v>66</v>
      </c>
      <c r="B63" s="8" t="n">
        <v>-0.017</v>
      </c>
      <c r="C63" s="11" t="n">
        <f aca="false">'Quarterly Data'!E63</f>
        <v>6.74076923076923</v>
      </c>
      <c r="D63" s="11" t="n">
        <f aca="false">'Quarterly Data'!F63</f>
        <v>4.08747252747253</v>
      </c>
      <c r="E63" s="11" t="n">
        <f aca="false">'Quarterly Data'!G63</f>
        <v>0.665567600855326</v>
      </c>
      <c r="F63" s="11" t="n">
        <f aca="false">'Quarterly Data'!H63</f>
        <v>319.943351648352</v>
      </c>
      <c r="G63" s="12" t="n">
        <f aca="false">'Quarterly Data'!I63</f>
        <v>57.6813186813187</v>
      </c>
      <c r="H63" s="11" t="n">
        <f aca="false">'Quarterly Data'!J63</f>
        <v>1.46068131868132</v>
      </c>
    </row>
    <row r="64" customFormat="false" ht="15" hidden="false" customHeight="false" outlineLevel="0" collapsed="false">
      <c r="A64" s="5" t="s">
        <v>67</v>
      </c>
      <c r="B64" s="8" t="n">
        <v>0.011</v>
      </c>
      <c r="C64" s="11" t="n">
        <f aca="false">'Quarterly Data'!E64</f>
        <v>6.78384615384615</v>
      </c>
      <c r="D64" s="11" t="n">
        <f aca="false">'Quarterly Data'!F64</f>
        <v>3.98989010989011</v>
      </c>
      <c r="E64" s="11" t="n">
        <f aca="false">'Quarterly Data'!G64</f>
        <v>0.645955537554221</v>
      </c>
      <c r="F64" s="11" t="n">
        <f aca="false">'Quarterly Data'!H64</f>
        <v>322.393175824176</v>
      </c>
      <c r="G64" s="12" t="n">
        <f aca="false">'Quarterly Data'!I64</f>
        <v>58.3043956043956</v>
      </c>
      <c r="H64" s="11" t="n">
        <f aca="false">'Quarterly Data'!J64</f>
        <v>1.40418681318681</v>
      </c>
    </row>
    <row r="65" customFormat="false" ht="15" hidden="false" customHeight="false" outlineLevel="0" collapsed="false">
      <c r="A65" s="5" t="s">
        <v>68</v>
      </c>
      <c r="B65" s="8" t="n">
        <v>0.004</v>
      </c>
      <c r="C65" s="11" t="n">
        <f aca="false">'Quarterly Data'!E65</f>
        <v>6.38692307692308</v>
      </c>
      <c r="D65" s="11" t="n">
        <f aca="false">'Quarterly Data'!F65</f>
        <v>4.05384615384615</v>
      </c>
      <c r="E65" s="11" t="n">
        <f aca="false">'Quarterly Data'!G65</f>
        <v>0.687649787697968</v>
      </c>
      <c r="F65" s="11" t="n">
        <f aca="false">'Quarterly Data'!H65</f>
        <v>324.412868131868</v>
      </c>
      <c r="G65" s="12" t="n">
        <f aca="false">'Quarterly Data'!I65</f>
        <v>55.610989010989</v>
      </c>
      <c r="H65" s="11" t="n">
        <f aca="false">'Quarterly Data'!J65</f>
        <v>1.40316483516484</v>
      </c>
    </row>
    <row r="66" customFormat="false" ht="15" hidden="false" customHeight="false" outlineLevel="0" collapsed="false">
      <c r="A66" s="5" t="s">
        <v>69</v>
      </c>
      <c r="B66" s="8" t="n">
        <v>0.013</v>
      </c>
      <c r="C66" s="11" t="n">
        <f aca="false">'Quarterly Data'!E66</f>
        <v>6.17769230769231</v>
      </c>
      <c r="D66" s="11" t="n">
        <f aca="false">'Quarterly Data'!F66</f>
        <v>4.13241758241758</v>
      </c>
      <c r="E66" s="11" t="n">
        <f aca="false">'Quarterly Data'!G66</f>
        <v>0.685994509094473</v>
      </c>
      <c r="F66" s="11" t="n">
        <f aca="false">'Quarterly Data'!H66</f>
        <v>324.471362637363</v>
      </c>
      <c r="G66" s="12" t="n">
        <f aca="false">'Quarterly Data'!I66</f>
        <v>53.4274725274725</v>
      </c>
      <c r="H66" s="11" t="n">
        <f aca="false">'Quarterly Data'!J66</f>
        <v>1.43024175824176</v>
      </c>
    </row>
    <row r="67" customFormat="false" ht="15" hidden="false" customHeight="false" outlineLevel="0" collapsed="false">
      <c r="A67" s="5" t="s">
        <v>70</v>
      </c>
      <c r="B67" s="8" t="n">
        <v>0.006</v>
      </c>
      <c r="C67" s="11" t="n">
        <f aca="false">'Quarterly Data'!E67</f>
        <v>6.19692307692308</v>
      </c>
      <c r="D67" s="11" t="n">
        <f aca="false">'Quarterly Data'!F67</f>
        <v>4.02835164835165</v>
      </c>
      <c r="E67" s="11" t="n">
        <f aca="false">'Quarterly Data'!G67</f>
        <v>0.644420516844587</v>
      </c>
      <c r="F67" s="11" t="n">
        <f aca="false">'Quarterly Data'!H67</f>
        <v>330.083054945055</v>
      </c>
      <c r="G67" s="12" t="n">
        <f aca="false">'Quarterly Data'!I67</f>
        <v>53.1021978021978</v>
      </c>
      <c r="H67" s="11" t="n">
        <f aca="false">'Quarterly Data'!J67</f>
        <v>1.43808791208791</v>
      </c>
    </row>
    <row r="68" customFormat="false" ht="15" hidden="false" customHeight="false" outlineLevel="0" collapsed="false">
      <c r="A68" s="5" t="s">
        <v>71</v>
      </c>
      <c r="B68" s="8" t="n">
        <v>0.002</v>
      </c>
      <c r="C68" s="11" t="n">
        <f aca="false">'Quarterly Data'!E68</f>
        <v>6.49538461538462</v>
      </c>
      <c r="D68" s="11" t="n">
        <f aca="false">'Quarterly Data'!F68</f>
        <v>4.10615384615385</v>
      </c>
      <c r="E68" s="11" t="n">
        <f aca="false">'Quarterly Data'!G68</f>
        <v>0</v>
      </c>
      <c r="F68" s="11" t="n">
        <f aca="false">'Quarterly Data'!H68</f>
        <v>334.326461538462</v>
      </c>
      <c r="G68" s="12" t="n">
        <f aca="false">'Quarterly Data'!I68</f>
        <v>0</v>
      </c>
      <c r="H68" s="11" t="n">
        <f aca="false">'Quarterly Data'!J68</f>
        <v>1.40937362637363</v>
      </c>
    </row>
    <row r="70" customFormat="false" ht="15" hidden="false" customHeight="false" outlineLevel="0" collapsed="false">
      <c r="A70" s="9" t="s">
        <v>104</v>
      </c>
    </row>
    <row r="71" customFormat="false" ht="45" hidden="false" customHeight="true" outlineLevel="0" collapsed="false">
      <c r="A71" s="2" t="s">
        <v>122</v>
      </c>
      <c r="B71" s="2"/>
      <c r="C71" s="2"/>
      <c r="D71" s="2"/>
      <c r="E71" s="2"/>
      <c r="F71" s="2"/>
      <c r="G71" s="2"/>
      <c r="H71" s="2"/>
    </row>
    <row r="73" customFormat="false" ht="26.85" hidden="false" customHeight="false" outlineLevel="0" collapsed="false">
      <c r="A73" s="3" t="s">
        <v>2</v>
      </c>
      <c r="B73" s="3" t="s">
        <v>123</v>
      </c>
      <c r="C73" s="3" t="s">
        <v>106</v>
      </c>
      <c r="D73" s="3" t="s">
        <v>124</v>
      </c>
      <c r="E73" s="3" t="s">
        <v>125</v>
      </c>
      <c r="F73" s="3" t="s">
        <v>126</v>
      </c>
      <c r="G73" s="3" t="s">
        <v>127</v>
      </c>
      <c r="H73" s="3" t="s">
        <v>128</v>
      </c>
    </row>
    <row r="74" customFormat="false" ht="15" hidden="false" customHeight="false" outlineLevel="0" collapsed="false">
      <c r="A74" s="5" t="s">
        <v>8</v>
      </c>
      <c r="B74" s="5" t="s">
        <v>118</v>
      </c>
      <c r="C74" s="11" t="n">
        <f aca="false">IFERROR(CORREL(C6:C35,B6:B35),"n/a")</f>
        <v>-0.738312361027473</v>
      </c>
      <c r="D74" s="11" t="n">
        <f aca="false">IFERROR(CORREL(C6:C34,B7:B35),"n/a")</f>
        <v>-0.727851005293729</v>
      </c>
      <c r="E74" s="11" t="n">
        <f aca="false">IFERROR(CORREL(C6:C33,B8:B35),"n/a")</f>
        <v>-0.670545825678041</v>
      </c>
      <c r="F74" s="11" t="n">
        <f aca="false">IFERROR(CORREL(C6:C32,B9:B35),"n/a")</f>
        <v>-0.604912097388487</v>
      </c>
      <c r="G74" s="11" t="n">
        <f aca="false">IFERROR(CORREL(C6:C31,B10:B35),"n/a")</f>
        <v>-0.509634761937183</v>
      </c>
      <c r="H74" s="11" t="n">
        <f aca="false">IFERROR(CORREL(C6:C30,B11:B35),"n/a")</f>
        <v>-0.395877272535232</v>
      </c>
    </row>
    <row r="75" customFormat="false" ht="15" hidden="false" customHeight="false" outlineLevel="0" collapsed="false">
      <c r="A75" s="5" t="s">
        <v>8</v>
      </c>
      <c r="B75" s="5" t="s">
        <v>29</v>
      </c>
      <c r="C75" s="11" t="n">
        <f aca="false">IFERROR(CORREL(D6:D35,B6:B35),"n/a")</f>
        <v>0.689688260325704</v>
      </c>
      <c r="D75" s="11" t="n">
        <f aca="false">IFERROR(CORREL(D6:D34,B7:B35),"n/a")</f>
        <v>0.623192136348925</v>
      </c>
      <c r="E75" s="11" t="n">
        <f aca="false">IFERROR(CORREL(D6:D33,B8:B35),"n/a")</f>
        <v>0.486955337302929</v>
      </c>
      <c r="F75" s="11" t="n">
        <f aca="false">IFERROR(CORREL(D6:D32,B9:B35),"n/a")</f>
        <v>0.327897701928043</v>
      </c>
      <c r="G75" s="11" t="n">
        <f aca="false">IFERROR(CORREL(D6:D31,B10:B35),"n/a")</f>
        <v>0.313964343020603</v>
      </c>
      <c r="H75" s="11" t="n">
        <f aca="false">IFERROR(CORREL(D6:D30,B11:B35),"n/a")</f>
        <v>0.250353528409498</v>
      </c>
    </row>
    <row r="76" customFormat="false" ht="15" hidden="false" customHeight="false" outlineLevel="0" collapsed="false">
      <c r="A76" s="5" t="s">
        <v>8</v>
      </c>
      <c r="B76" s="5" t="s">
        <v>30</v>
      </c>
      <c r="C76" s="11" t="n">
        <f aca="false">IFERROR(CORREL(E6:E35,B6:B35),"n/a")</f>
        <v>0.784956710137491</v>
      </c>
      <c r="D76" s="11" t="n">
        <f aca="false">IFERROR(CORREL(E6:E34,B7:B35),"n/a")</f>
        <v>0.660452823808986</v>
      </c>
      <c r="E76" s="11" t="n">
        <f aca="false">IFERROR(CORREL(E6:E33,B8:B35),"n/a")</f>
        <v>0.584000630299717</v>
      </c>
      <c r="F76" s="11" t="n">
        <f aca="false">IFERROR(CORREL(E6:E32,B9:B35),"n/a")</f>
        <v>0.30790872332482</v>
      </c>
      <c r="G76" s="11" t="n">
        <f aca="false">IFERROR(CORREL(E6:E31,B10:B35),"n/a")</f>
        <v>0.061108414079743</v>
      </c>
      <c r="H76" s="11" t="n">
        <f aca="false">IFERROR(CORREL(E6:E30,B11:B35),"n/a")</f>
        <v>0.120547409030227</v>
      </c>
    </row>
    <row r="77" customFormat="false" ht="15" hidden="false" customHeight="false" outlineLevel="0" collapsed="false">
      <c r="A77" s="5" t="s">
        <v>8</v>
      </c>
      <c r="B77" s="5" t="s">
        <v>31</v>
      </c>
      <c r="C77" s="11" t="n">
        <f aca="false">IFERROR(CORREL(F6:F35,B6:B35),"n/a")</f>
        <v>-0.630222013412204</v>
      </c>
      <c r="D77" s="11" t="n">
        <f aca="false">IFERROR(CORREL(F6:F34,B7:B35),"n/a")</f>
        <v>-0.650910923310503</v>
      </c>
      <c r="E77" s="11" t="n">
        <f aca="false">IFERROR(CORREL(F6:F33,B8:B35),"n/a")</f>
        <v>-0.669373669971571</v>
      </c>
      <c r="F77" s="11" t="n">
        <f aca="false">IFERROR(CORREL(F6:F32,B9:B35),"n/a")</f>
        <v>-0.679686309821164</v>
      </c>
      <c r="G77" s="11" t="n">
        <f aca="false">IFERROR(CORREL(F6:F31,B10:B35),"n/a")</f>
        <v>-0.665725513904656</v>
      </c>
      <c r="H77" s="11" t="n">
        <f aca="false">IFERROR(CORREL(F6:F30,B11:B35),"n/a")</f>
        <v>-0.641845322904778</v>
      </c>
    </row>
    <row r="78" customFormat="false" ht="15" hidden="false" customHeight="false" outlineLevel="0" collapsed="false">
      <c r="A78" s="5" t="s">
        <v>8</v>
      </c>
      <c r="B78" s="5" t="s">
        <v>119</v>
      </c>
      <c r="C78" s="11" t="n">
        <f aca="false">IFERROR(CORREL(G6:G35,B6:B35),"n/a")</f>
        <v>0.316147589441603</v>
      </c>
      <c r="D78" s="11" t="n">
        <f aca="false">IFERROR(CORREL(G6:G34,B7:B35),"n/a")</f>
        <v>0.365473660427235</v>
      </c>
      <c r="E78" s="11" t="n">
        <f aca="false">IFERROR(CORREL(G6:G33,B8:B35),"n/a")</f>
        <v>0.530328658416113</v>
      </c>
      <c r="F78" s="11" t="n">
        <f aca="false">IFERROR(CORREL(G6:G32,B9:B35),"n/a")</f>
        <v>0.640284777557808</v>
      </c>
      <c r="G78" s="11" t="n">
        <f aca="false">IFERROR(CORREL(G6:G31,B10:B35),"n/a")</f>
        <v>0.806988092638511</v>
      </c>
      <c r="H78" s="11" t="n">
        <f aca="false">IFERROR(CORREL(G6:G30,B11:B35),"n/a")</f>
        <v>0.8782530181847</v>
      </c>
    </row>
    <row r="79" customFormat="false" ht="15" hidden="false" customHeight="false" outlineLevel="0" collapsed="false">
      <c r="A79" s="5" t="s">
        <v>8</v>
      </c>
      <c r="B79" s="5" t="s">
        <v>120</v>
      </c>
      <c r="C79" s="11" t="n">
        <f aca="false">IFERROR(CORREL(H6:H35,B6:B35),"n/a")</f>
        <v>0.314136100910031</v>
      </c>
      <c r="D79" s="11" t="n">
        <f aca="false">IFERROR(CORREL(H6:H34,B7:B35),"n/a")</f>
        <v>0.0969477621609403</v>
      </c>
      <c r="E79" s="11" t="n">
        <f aca="false">IFERROR(CORREL(H6:H33,B8:B35),"n/a")</f>
        <v>-0.115469568676518</v>
      </c>
      <c r="F79" s="11" t="n">
        <f aca="false">IFERROR(CORREL(H6:H32,B9:B35),"n/a")</f>
        <v>-0.27513424730128</v>
      </c>
      <c r="G79" s="11" t="n">
        <f aca="false">IFERROR(CORREL(H6:H31,B10:B35),"n/a")</f>
        <v>-0.383954470452147</v>
      </c>
      <c r="H79" s="11" t="n">
        <f aca="false">IFERROR(CORREL(H6:H30,B11:B35),"n/a")</f>
        <v>-0.412548702320733</v>
      </c>
    </row>
    <row r="81" customFormat="false" ht="15" hidden="false" customHeight="false" outlineLevel="0" collapsed="false">
      <c r="A81" s="5" t="s">
        <v>17</v>
      </c>
      <c r="B81" s="5" t="s">
        <v>118</v>
      </c>
      <c r="C81" s="11" t="n">
        <f aca="false">IFERROR(CORREL(C39:C68,B39:B68),"n/a")</f>
        <v>-0.676026179937076</v>
      </c>
      <c r="D81" s="11" t="n">
        <f aca="false">IFERROR(CORREL(C39:C67,B40:B68),"n/a")</f>
        <v>-0.62279925266976</v>
      </c>
      <c r="E81" s="11" t="n">
        <f aca="false">IFERROR(CORREL(C39:C66,B41:B68),"n/a")</f>
        <v>-0.544389841139575</v>
      </c>
      <c r="F81" s="11" t="n">
        <f aca="false">IFERROR(CORREL(C39:C65,B42:B68),"n/a")</f>
        <v>-0.486017678301786</v>
      </c>
      <c r="G81" s="11" t="n">
        <f aca="false">IFERROR(CORREL(C39:C64,B43:B68),"n/a")</f>
        <v>-0.403893836549652</v>
      </c>
      <c r="H81" s="11" t="n">
        <f aca="false">IFERROR(CORREL(C39:C63,B44:B68),"n/a")</f>
        <v>-0.296341493599951</v>
      </c>
    </row>
    <row r="82" customFormat="false" ht="15" hidden="false" customHeight="false" outlineLevel="0" collapsed="false">
      <c r="A82" s="5" t="s">
        <v>17</v>
      </c>
      <c r="B82" s="5" t="s">
        <v>29</v>
      </c>
      <c r="C82" s="11" t="n">
        <f aca="false">IFERROR(CORREL(D39:D68,B39:B68),"n/a")</f>
        <v>0.573436752686345</v>
      </c>
      <c r="D82" s="11" t="n">
        <f aca="false">IFERROR(CORREL(D39:D67,B40:B68),"n/a")</f>
        <v>0.455731410332517</v>
      </c>
      <c r="E82" s="11" t="n">
        <f aca="false">IFERROR(CORREL(D39:D66,B41:B68),"n/a")</f>
        <v>0.318356013581974</v>
      </c>
      <c r="F82" s="11" t="n">
        <f aca="false">IFERROR(CORREL(D39:D65,B42:B68),"n/a")</f>
        <v>0.233134765028377</v>
      </c>
      <c r="G82" s="11" t="n">
        <f aca="false">IFERROR(CORREL(D39:D64,B43:B68),"n/a")</f>
        <v>0.250772495620571</v>
      </c>
      <c r="H82" s="11" t="n">
        <f aca="false">IFERROR(CORREL(D39:D63,B44:B68),"n/a")</f>
        <v>0.170391078768771</v>
      </c>
    </row>
    <row r="83" customFormat="false" ht="15" hidden="false" customHeight="false" outlineLevel="0" collapsed="false">
      <c r="A83" s="5" t="s">
        <v>17</v>
      </c>
      <c r="B83" s="5" t="s">
        <v>30</v>
      </c>
      <c r="C83" s="11" t="n">
        <f aca="false">IFERROR(CORREL(E39:E68,B39:B68),"n/a")</f>
        <v>0.796681123104491</v>
      </c>
      <c r="D83" s="11" t="n">
        <f aca="false">IFERROR(CORREL(E39:E67,B40:B68),"n/a")</f>
        <v>0.536695569361717</v>
      </c>
      <c r="E83" s="11" t="n">
        <f aca="false">IFERROR(CORREL(E39:E66,B41:B68),"n/a")</f>
        <v>0.385396483130795</v>
      </c>
      <c r="F83" s="11" t="n">
        <f aca="false">IFERROR(CORREL(E39:E65,B42:B68),"n/a")</f>
        <v>0.129671470945764</v>
      </c>
      <c r="G83" s="11" t="n">
        <f aca="false">IFERROR(CORREL(E39:E64,B43:B68),"n/a")</f>
        <v>-0.0288622368760292</v>
      </c>
      <c r="H83" s="11" t="n">
        <f aca="false">IFERROR(CORREL(E39:E63,B44:B68),"n/a")</f>
        <v>0.0445825474779068</v>
      </c>
    </row>
    <row r="84" customFormat="false" ht="15" hidden="false" customHeight="false" outlineLevel="0" collapsed="false">
      <c r="A84" s="5" t="s">
        <v>17</v>
      </c>
      <c r="B84" s="5" t="s">
        <v>31</v>
      </c>
      <c r="C84" s="11" t="n">
        <f aca="false">IFERROR(CORREL(F39:F68,B39:B68),"n/a")</f>
        <v>-0.591537504945559</v>
      </c>
      <c r="D84" s="11" t="n">
        <f aca="false">IFERROR(CORREL(F39:F67,B40:B68),"n/a")</f>
        <v>-0.595752656510922</v>
      </c>
      <c r="E84" s="11" t="n">
        <f aca="false">IFERROR(CORREL(F39:F66,B41:B68),"n/a")</f>
        <v>-0.597063924010561</v>
      </c>
      <c r="F84" s="11" t="n">
        <f aca="false">IFERROR(CORREL(F39:F65,B42:B68),"n/a")</f>
        <v>-0.597704397454624</v>
      </c>
      <c r="G84" s="11" t="n">
        <f aca="false">IFERROR(CORREL(F39:F64,B43:B68),"n/a")</f>
        <v>-0.58970562245321</v>
      </c>
      <c r="H84" s="11" t="n">
        <f aca="false">IFERROR(CORREL(F39:F63,B44:B68),"n/a")</f>
        <v>-0.547496076105351</v>
      </c>
    </row>
    <row r="85" customFormat="false" ht="15" hidden="false" customHeight="false" outlineLevel="0" collapsed="false">
      <c r="A85" s="5" t="s">
        <v>17</v>
      </c>
      <c r="B85" s="5" t="s">
        <v>119</v>
      </c>
      <c r="C85" s="11" t="n">
        <f aca="false">IFERROR(CORREL(G39:G68,B39:B68),"n/a")</f>
        <v>0.304758332618356</v>
      </c>
      <c r="D85" s="11" t="n">
        <f aca="false">IFERROR(CORREL(G39:G67,B40:B68),"n/a")</f>
        <v>0.360846966734343</v>
      </c>
      <c r="E85" s="11" t="n">
        <f aca="false">IFERROR(CORREL(G39:G66,B41:B68),"n/a")</f>
        <v>0.525957927479578</v>
      </c>
      <c r="F85" s="11" t="n">
        <f aca="false">IFERROR(CORREL(G39:G65,B42:B68),"n/a")</f>
        <v>0.641842001402618</v>
      </c>
      <c r="G85" s="11" t="n">
        <f aca="false">IFERROR(CORREL(G39:G64,B43:B68),"n/a")</f>
        <v>0.800440384001349</v>
      </c>
      <c r="H85" s="11" t="n">
        <f aca="false">IFERROR(CORREL(G39:G63,B44:B68),"n/a")</f>
        <v>0.82036141862039</v>
      </c>
    </row>
    <row r="86" customFormat="false" ht="15" hidden="false" customHeight="false" outlineLevel="0" collapsed="false">
      <c r="A86" s="5" t="s">
        <v>17</v>
      </c>
      <c r="B86" s="5" t="s">
        <v>120</v>
      </c>
      <c r="C86" s="11" t="n">
        <f aca="false">IFERROR(CORREL(H39:H68,B39:B68),"n/a")</f>
        <v>0.110795042866457</v>
      </c>
      <c r="D86" s="11" t="n">
        <f aca="false">IFERROR(CORREL(H39:H67,B40:B68),"n/a")</f>
        <v>-0.131164290915367</v>
      </c>
      <c r="E86" s="11" t="n">
        <f aca="false">IFERROR(CORREL(H39:H66,B41:B68),"n/a")</f>
        <v>-0.254653276363161</v>
      </c>
      <c r="F86" s="11" t="n">
        <f aca="false">IFERROR(CORREL(H39:H65,B42:B68),"n/a")</f>
        <v>-0.317218228273506</v>
      </c>
      <c r="G86" s="11" t="n">
        <f aca="false">IFERROR(CORREL(H39:H64,B43:B68),"n/a")</f>
        <v>-0.402218493269185</v>
      </c>
      <c r="H86" s="11" t="n">
        <f aca="false">IFERROR(CORREL(H39:H63,B44:B68),"n/a")</f>
        <v>-0.452227476121105</v>
      </c>
    </row>
    <row r="89" customFormat="false" ht="15" hidden="false" customHeight="false" outlineLevel="0" collapsed="false">
      <c r="A89" s="9" t="s">
        <v>111</v>
      </c>
    </row>
    <row r="90" customFormat="false" ht="55.5" hidden="false" customHeight="true" outlineLevel="0" collapsed="false">
      <c r="A90" s="32" t="s">
        <v>129</v>
      </c>
      <c r="B90" s="32"/>
      <c r="C90" s="32"/>
      <c r="D90" s="32"/>
      <c r="E90" s="32"/>
      <c r="F90" s="32"/>
      <c r="G90" s="32"/>
      <c r="H90" s="32"/>
    </row>
    <row r="91" customFormat="false" ht="69.75" hidden="false" customHeight="true" outlineLevel="0" collapsed="false">
      <c r="A91" s="32" t="s">
        <v>130</v>
      </c>
      <c r="B91" s="32"/>
      <c r="C91" s="32"/>
      <c r="D91" s="32"/>
      <c r="E91" s="32"/>
      <c r="F91" s="32"/>
      <c r="G91" s="32"/>
      <c r="H91" s="32"/>
    </row>
    <row r="92" customFormat="false" ht="55.5" hidden="false" customHeight="true" outlineLevel="0" collapsed="false">
      <c r="A92" s="32" t="s">
        <v>131</v>
      </c>
      <c r="B92" s="32"/>
      <c r="C92" s="32"/>
      <c r="D92" s="32"/>
      <c r="E92" s="32"/>
      <c r="F92" s="32"/>
      <c r="G92" s="32"/>
      <c r="H92" s="32"/>
    </row>
    <row r="93" customFormat="false" ht="42" hidden="false" customHeight="true" outlineLevel="0" collapsed="false">
      <c r="A93" s="32" t="s">
        <v>132</v>
      </c>
      <c r="B93" s="32"/>
      <c r="C93" s="32"/>
      <c r="D93" s="32"/>
      <c r="E93" s="32"/>
      <c r="F93" s="32"/>
      <c r="G93" s="32"/>
      <c r="H93" s="32"/>
    </row>
    <row r="94" customFormat="false" ht="84" hidden="false" customHeight="true" outlineLevel="0" collapsed="false">
      <c r="A94" s="32" t="s">
        <v>133</v>
      </c>
      <c r="B94" s="32"/>
      <c r="C94" s="32"/>
      <c r="D94" s="32"/>
      <c r="E94" s="32"/>
      <c r="F94" s="32"/>
      <c r="G94" s="32"/>
      <c r="H94" s="32"/>
    </row>
    <row r="95" customFormat="false" ht="42" hidden="false" customHeight="true" outlineLevel="0" collapsed="false">
      <c r="A95" s="32" t="s">
        <v>134</v>
      </c>
      <c r="B95" s="32"/>
      <c r="C95" s="32"/>
      <c r="D95" s="32"/>
      <c r="E95" s="32"/>
      <c r="F95" s="32"/>
      <c r="G95" s="32"/>
      <c r="H95" s="32"/>
    </row>
    <row r="96" customFormat="false" ht="69.75" hidden="false" customHeight="true" outlineLevel="0" collapsed="false">
      <c r="A96" s="32" t="s">
        <v>135</v>
      </c>
      <c r="B96" s="32"/>
      <c r="C96" s="32"/>
      <c r="D96" s="32"/>
      <c r="E96" s="32"/>
      <c r="F96" s="32"/>
      <c r="G96" s="32"/>
      <c r="H96" s="32"/>
    </row>
    <row r="97" customFormat="false" ht="69.75" hidden="false" customHeight="true" outlineLevel="0" collapsed="false">
      <c r="A97" s="32" t="s">
        <v>136</v>
      </c>
      <c r="B97" s="32"/>
      <c r="C97" s="32"/>
      <c r="D97" s="32"/>
      <c r="E97" s="32"/>
      <c r="F97" s="32"/>
      <c r="G97" s="32"/>
      <c r="H97" s="32"/>
    </row>
  </sheetData>
  <mergeCells count="10">
    <mergeCell ref="A2:H2"/>
    <mergeCell ref="A71:H71"/>
    <mergeCell ref="A90:H90"/>
    <mergeCell ref="A91:H91"/>
    <mergeCell ref="A92:H92"/>
    <mergeCell ref="A93:H93"/>
    <mergeCell ref="A94:H94"/>
    <mergeCell ref="A95:H95"/>
    <mergeCell ref="A96:H96"/>
    <mergeCell ref="A97:H9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5" min="2" style="0" width="16"/>
  </cols>
  <sheetData>
    <row r="1" customFormat="false" ht="17.35" hidden="false" customHeight="false" outlineLevel="0" collapsed="false">
      <c r="A1" s="1" t="s">
        <v>137</v>
      </c>
      <c r="B1" s="1"/>
      <c r="C1" s="1"/>
      <c r="D1" s="1"/>
      <c r="E1" s="1"/>
    </row>
    <row r="2" customFormat="false" ht="60" hidden="false" customHeight="true" outlineLevel="0" collapsed="false">
      <c r="A2" s="2" t="s">
        <v>138</v>
      </c>
      <c r="B2" s="2"/>
      <c r="C2" s="2"/>
      <c r="D2" s="2"/>
      <c r="E2" s="2"/>
    </row>
    <row r="4" customFormat="false" ht="15" hidden="false" customHeight="false" outlineLevel="0" collapsed="false">
      <c r="A4" s="9" t="s">
        <v>139</v>
      </c>
    </row>
    <row r="6" customFormat="false" ht="15" hidden="false" customHeight="false" outlineLevel="0" collapsed="false">
      <c r="A6" s="4" t="s">
        <v>140</v>
      </c>
    </row>
    <row r="7" customFormat="false" ht="15" hidden="false" customHeight="false" outlineLevel="0" collapsed="false">
      <c r="A7" s="5" t="s">
        <v>141</v>
      </c>
      <c r="B7" s="5" t="s">
        <v>28</v>
      </c>
    </row>
    <row r="8" customFormat="false" ht="15" hidden="false" customHeight="false" outlineLevel="0" collapsed="false">
      <c r="A8" s="5" t="s">
        <v>142</v>
      </c>
      <c r="B8" s="5" t="n">
        <f aca="false">COUNT('Quarterly Data'!E17:E33)</f>
        <v>17</v>
      </c>
    </row>
    <row r="9" customFormat="false" ht="15" hidden="false" customHeight="false" outlineLevel="0" collapsed="false">
      <c r="A9" s="5" t="s">
        <v>143</v>
      </c>
      <c r="B9" s="34" t="n">
        <f aca="false">SLOPE('Quarterly Data'!L18:L34,'Quarterly Data'!E17:E33)</f>
        <v>-0.0314869938752716</v>
      </c>
    </row>
    <row r="10" customFormat="false" ht="15" hidden="false" customHeight="false" outlineLevel="0" collapsed="false">
      <c r="A10" s="5" t="s">
        <v>144</v>
      </c>
      <c r="B10" s="34" t="n">
        <f aca="false">INTERCEPT('Quarterly Data'!L18:L34,'Quarterly Data'!E17:E33)</f>
        <v>0.197224980471353</v>
      </c>
    </row>
    <row r="11" customFormat="false" ht="15" hidden="false" customHeight="false" outlineLevel="0" collapsed="false">
      <c r="A11" s="5" t="s">
        <v>145</v>
      </c>
      <c r="B11" s="11" t="n">
        <f aca="false">CORREL('Quarterly Data'!L18:L34,'Quarterly Data'!E17:E33)</f>
        <v>-0.771507297566668</v>
      </c>
    </row>
    <row r="12" customFormat="false" ht="15" hidden="false" customHeight="false" outlineLevel="0" collapsed="false">
      <c r="A12" s="5" t="s">
        <v>146</v>
      </c>
      <c r="B12" s="6" t="n">
        <f aca="false">'Quarterly Data'!E34</f>
        <v>6.49538461538462</v>
      </c>
    </row>
    <row r="13" customFormat="false" ht="15" hidden="false" customHeight="false" outlineLevel="0" collapsed="false">
      <c r="A13" s="4" t="s">
        <v>147</v>
      </c>
      <c r="B13" s="7" t="n">
        <f aca="false">B10+B9*B12</f>
        <v>-0.00729515513079548</v>
      </c>
    </row>
    <row r="15" customFormat="false" ht="15" hidden="false" customHeight="false" outlineLevel="0" collapsed="false">
      <c r="A15" s="4" t="s">
        <v>148</v>
      </c>
    </row>
    <row r="16" customFormat="false" ht="15" hidden="false" customHeight="false" outlineLevel="0" collapsed="false">
      <c r="A16" s="5" t="s">
        <v>141</v>
      </c>
      <c r="B16" s="5" t="s">
        <v>28</v>
      </c>
    </row>
    <row r="17" customFormat="false" ht="15" hidden="false" customHeight="false" outlineLevel="0" collapsed="false">
      <c r="A17" s="5" t="s">
        <v>142</v>
      </c>
      <c r="B17" s="5" t="n">
        <f aca="false">COUNT('Quarterly Data'!E17:E32)</f>
        <v>16</v>
      </c>
    </row>
    <row r="18" customFormat="false" ht="15" hidden="false" customHeight="false" outlineLevel="0" collapsed="false">
      <c r="A18" s="5" t="s">
        <v>143</v>
      </c>
      <c r="B18" s="34" t="n">
        <f aca="false">SLOPE('Quarterly Data'!L19:L34,'Quarterly Data'!E17:E32)</f>
        <v>-0.0168157788960722</v>
      </c>
    </row>
    <row r="19" customFormat="false" ht="15" hidden="false" customHeight="false" outlineLevel="0" collapsed="false">
      <c r="A19" s="5" t="s">
        <v>144</v>
      </c>
      <c r="B19" s="34" t="n">
        <f aca="false">INTERCEPT('Quarterly Data'!L19:L34,'Quarterly Data'!E17:E32)</f>
        <v>0.099839999090488</v>
      </c>
    </row>
    <row r="20" customFormat="false" ht="15" hidden="false" customHeight="false" outlineLevel="0" collapsed="false">
      <c r="A20" s="5" t="s">
        <v>145</v>
      </c>
      <c r="B20" s="11" t="n">
        <f aca="false">CORREL('Quarterly Data'!L19:L34,'Quarterly Data'!E17:E32)</f>
        <v>-0.483863335003769</v>
      </c>
    </row>
    <row r="21" customFormat="false" ht="15" hidden="false" customHeight="false" outlineLevel="0" collapsed="false">
      <c r="A21" s="5" t="s">
        <v>146</v>
      </c>
      <c r="B21" s="6" t="n">
        <f aca="false">'Quarterly Data'!E34</f>
        <v>6.49538461538462</v>
      </c>
    </row>
    <row r="22" customFormat="false" ht="15" hidden="false" customHeight="false" outlineLevel="0" collapsed="false">
      <c r="A22" s="4" t="s">
        <v>149</v>
      </c>
      <c r="B22" s="7" t="n">
        <f aca="false">B19+B18*B21</f>
        <v>-0.00938495244676846</v>
      </c>
    </row>
    <row r="24" customFormat="false" ht="15" hidden="false" customHeight="false" outlineLevel="0" collapsed="false">
      <c r="A24" s="4" t="s">
        <v>150</v>
      </c>
    </row>
    <row r="25" customFormat="false" ht="15" hidden="false" customHeight="false" outlineLevel="0" collapsed="false">
      <c r="A25" s="5" t="s">
        <v>141</v>
      </c>
      <c r="B25" s="5" t="s">
        <v>119</v>
      </c>
    </row>
    <row r="26" customFormat="false" ht="15" hidden="false" customHeight="false" outlineLevel="0" collapsed="false">
      <c r="A26" s="5" t="s">
        <v>142</v>
      </c>
      <c r="B26" s="5" t="n">
        <f aca="false">COUNT('Quarterly Data'!I17:I30)</f>
        <v>14</v>
      </c>
    </row>
    <row r="27" customFormat="false" ht="15" hidden="false" customHeight="false" outlineLevel="0" collapsed="false">
      <c r="A27" s="5" t="s">
        <v>143</v>
      </c>
      <c r="B27" s="34" t="n">
        <f aca="false">SLOPE('Quarterly Data'!L21:L34,'Quarterly Data'!I17:I30)</f>
        <v>0.00126618305630154</v>
      </c>
    </row>
    <row r="28" customFormat="false" ht="15" hidden="false" customHeight="false" outlineLevel="0" collapsed="false">
      <c r="A28" s="5" t="s">
        <v>144</v>
      </c>
      <c r="B28" s="34" t="n">
        <f aca="false">INTERCEPT('Quarterly Data'!L21:L34,'Quarterly Data'!I17:I30)</f>
        <v>-0.0939980190483506</v>
      </c>
    </row>
    <row r="29" customFormat="false" ht="15" hidden="false" customHeight="false" outlineLevel="0" collapsed="false">
      <c r="A29" s="5" t="s">
        <v>145</v>
      </c>
      <c r="B29" s="11" t="n">
        <f aca="false">CORREL('Quarterly Data'!L21:L34,'Quarterly Data'!I17:I30)</f>
        <v>0.383494631254477</v>
      </c>
    </row>
    <row r="30" customFormat="false" ht="15" hidden="false" customHeight="false" outlineLevel="0" collapsed="false">
      <c r="A30" s="5" t="s">
        <v>151</v>
      </c>
      <c r="B30" s="6" t="n">
        <f aca="false">'Quarterly Data'!I33</f>
        <v>52.8450549450549</v>
      </c>
    </row>
    <row r="31" customFormat="false" ht="15" hidden="false" customHeight="false" outlineLevel="0" collapsed="false">
      <c r="A31" s="4" t="s">
        <v>152</v>
      </c>
      <c r="B31" s="7" t="n">
        <f aca="false">B28+B27*B30</f>
        <v>-0.027086505867598</v>
      </c>
    </row>
    <row r="33" customFormat="false" ht="15" hidden="false" customHeight="false" outlineLevel="0" collapsed="false">
      <c r="A33" s="4" t="s">
        <v>153</v>
      </c>
    </row>
    <row r="34" customFormat="false" ht="15" hidden="false" customHeight="false" outlineLevel="0" collapsed="false">
      <c r="A34" s="5" t="s">
        <v>141</v>
      </c>
      <c r="B34" s="5" t="s">
        <v>119</v>
      </c>
    </row>
    <row r="35" customFormat="false" ht="15" hidden="false" customHeight="false" outlineLevel="0" collapsed="false">
      <c r="A35" s="5" t="s">
        <v>142</v>
      </c>
      <c r="B35" s="5" t="n">
        <f aca="false">COUNT('Quarterly Data'!I17:I29)</f>
        <v>13</v>
      </c>
    </row>
    <row r="36" customFormat="false" ht="15" hidden="false" customHeight="false" outlineLevel="0" collapsed="false">
      <c r="A36" s="5" t="s">
        <v>143</v>
      </c>
      <c r="B36" s="34" t="n">
        <f aca="false">SLOPE('Quarterly Data'!L22:L34,'Quarterly Data'!I17:I29)</f>
        <v>0.00197683961601993</v>
      </c>
    </row>
    <row r="37" customFormat="false" ht="15" hidden="false" customHeight="false" outlineLevel="0" collapsed="false">
      <c r="A37" s="5" t="s">
        <v>144</v>
      </c>
      <c r="B37" s="34" t="n">
        <f aca="false">INTERCEPT('Quarterly Data'!L22:L34,'Quarterly Data'!I17:I29)</f>
        <v>-0.138236851227492</v>
      </c>
    </row>
    <row r="38" customFormat="false" ht="15" hidden="false" customHeight="false" outlineLevel="0" collapsed="false">
      <c r="A38" s="5" t="s">
        <v>145</v>
      </c>
      <c r="B38" s="11" t="n">
        <f aca="false">CORREL('Quarterly Data'!L22:L34,'Quarterly Data'!I17:I29)</f>
        <v>0.643558401587884</v>
      </c>
    </row>
    <row r="39" customFormat="false" ht="15" hidden="false" customHeight="false" outlineLevel="0" collapsed="false">
      <c r="A39" s="5" t="s">
        <v>151</v>
      </c>
      <c r="B39" s="6" t="n">
        <f aca="false">'Quarterly Data'!I33</f>
        <v>52.8450549450549</v>
      </c>
    </row>
    <row r="40" customFormat="false" ht="15" hidden="false" customHeight="false" outlineLevel="0" collapsed="false">
      <c r="A40" s="4" t="s">
        <v>154</v>
      </c>
      <c r="B40" s="7" t="n">
        <f aca="false">B37+B36*B39</f>
        <v>-0.0337706531013578</v>
      </c>
    </row>
    <row r="43" customFormat="false" ht="15" hidden="false" customHeight="false" outlineLevel="0" collapsed="false">
      <c r="A43" s="9" t="s">
        <v>155</v>
      </c>
    </row>
    <row r="45" customFormat="false" ht="15" hidden="false" customHeight="false" outlineLevel="0" collapsed="false">
      <c r="A45" s="4" t="s">
        <v>140</v>
      </c>
    </row>
    <row r="46" customFormat="false" ht="15" hidden="false" customHeight="false" outlineLevel="0" collapsed="false">
      <c r="A46" s="5" t="s">
        <v>141</v>
      </c>
      <c r="B46" s="5" t="s">
        <v>28</v>
      </c>
    </row>
    <row r="47" customFormat="false" ht="15" hidden="false" customHeight="false" outlineLevel="0" collapsed="false">
      <c r="A47" s="5" t="s">
        <v>142</v>
      </c>
      <c r="B47" s="5" t="n">
        <f aca="false">COUNT('Quarterly Data'!E51:E67)</f>
        <v>17</v>
      </c>
    </row>
    <row r="48" customFormat="false" ht="15" hidden="false" customHeight="false" outlineLevel="0" collapsed="false">
      <c r="A48" s="5" t="s">
        <v>143</v>
      </c>
      <c r="B48" s="34" t="n">
        <f aca="false">SLOPE('Quarterly Data'!L52:L68,'Quarterly Data'!E51:E67)</f>
        <v>-0.0217047715618737</v>
      </c>
    </row>
    <row r="49" customFormat="false" ht="15" hidden="false" customHeight="false" outlineLevel="0" collapsed="false">
      <c r="A49" s="5" t="s">
        <v>144</v>
      </c>
      <c r="B49" s="34" t="n">
        <f aca="false">INTERCEPT('Quarterly Data'!L52:L68,'Quarterly Data'!E51:E67)</f>
        <v>0.124207387989528</v>
      </c>
    </row>
    <row r="50" customFormat="false" ht="15" hidden="false" customHeight="false" outlineLevel="0" collapsed="false">
      <c r="A50" s="5" t="s">
        <v>145</v>
      </c>
      <c r="B50" s="11" t="n">
        <f aca="false">CORREL('Quarterly Data'!L52:L68,'Quarterly Data'!E51:E67)</f>
        <v>-0.519875106625705</v>
      </c>
    </row>
    <row r="51" customFormat="false" ht="15" hidden="false" customHeight="false" outlineLevel="0" collapsed="false">
      <c r="A51" s="5" t="s">
        <v>156</v>
      </c>
      <c r="B51" s="6" t="n">
        <f aca="false">'Quarterly Data'!E68</f>
        <v>6.49538461538462</v>
      </c>
    </row>
    <row r="52" customFormat="false" ht="15" hidden="false" customHeight="false" outlineLevel="0" collapsed="false">
      <c r="A52" s="4" t="s">
        <v>147</v>
      </c>
      <c r="B52" s="7" t="n">
        <f aca="false">B49+B48*B51</f>
        <v>-0.0167734512939039</v>
      </c>
    </row>
    <row r="54" customFormat="false" ht="15" hidden="false" customHeight="false" outlineLevel="0" collapsed="false">
      <c r="A54" s="4" t="s">
        <v>148</v>
      </c>
    </row>
    <row r="55" customFormat="false" ht="15" hidden="false" customHeight="false" outlineLevel="0" collapsed="false">
      <c r="A55" s="5" t="s">
        <v>141</v>
      </c>
      <c r="B55" s="5" t="s">
        <v>28</v>
      </c>
    </row>
    <row r="56" customFormat="false" ht="15" hidden="false" customHeight="false" outlineLevel="0" collapsed="false">
      <c r="A56" s="5" t="s">
        <v>142</v>
      </c>
      <c r="B56" s="5" t="n">
        <f aca="false">COUNT('Quarterly Data'!E51:E66)</f>
        <v>16</v>
      </c>
    </row>
    <row r="57" customFormat="false" ht="15" hidden="false" customHeight="false" outlineLevel="0" collapsed="false">
      <c r="A57" s="5" t="s">
        <v>143</v>
      </c>
      <c r="B57" s="34" t="n">
        <f aca="false">SLOPE('Quarterly Data'!L53:L68,'Quarterly Data'!E51:E66)</f>
        <v>-0.0149483419722098</v>
      </c>
    </row>
    <row r="58" customFormat="false" ht="15" hidden="false" customHeight="false" outlineLevel="0" collapsed="false">
      <c r="A58" s="5" t="s">
        <v>144</v>
      </c>
      <c r="B58" s="34" t="n">
        <f aca="false">INTERCEPT('Quarterly Data'!L53:L68,'Quarterly Data'!E51:E66)</f>
        <v>0.0800722060217086</v>
      </c>
    </row>
    <row r="59" customFormat="false" ht="15" hidden="false" customHeight="false" outlineLevel="0" collapsed="false">
      <c r="A59" s="5" t="s">
        <v>145</v>
      </c>
      <c r="B59" s="11" t="n">
        <f aca="false">CORREL('Quarterly Data'!L53:L68,'Quarterly Data'!E51:E66)</f>
        <v>-0.360976619277723</v>
      </c>
    </row>
    <row r="60" customFormat="false" ht="15" hidden="false" customHeight="false" outlineLevel="0" collapsed="false">
      <c r="A60" s="5" t="s">
        <v>156</v>
      </c>
      <c r="B60" s="6" t="n">
        <f aca="false">'Quarterly Data'!E68</f>
        <v>6.49538461538462</v>
      </c>
    </row>
    <row r="61" customFormat="false" ht="15" hidden="false" customHeight="false" outlineLevel="0" collapsed="false">
      <c r="A61" s="4" t="s">
        <v>149</v>
      </c>
      <c r="B61" s="7" t="n">
        <f aca="false">B58+B57*B60</f>
        <v>-0.0170230244500911</v>
      </c>
    </row>
    <row r="63" customFormat="false" ht="15" hidden="false" customHeight="false" outlineLevel="0" collapsed="false">
      <c r="A63" s="4" t="s">
        <v>150</v>
      </c>
    </row>
    <row r="64" customFormat="false" ht="15" hidden="false" customHeight="false" outlineLevel="0" collapsed="false">
      <c r="A64" s="5" t="s">
        <v>141</v>
      </c>
      <c r="B64" s="5" t="s">
        <v>119</v>
      </c>
    </row>
    <row r="65" customFormat="false" ht="15" hidden="false" customHeight="false" outlineLevel="0" collapsed="false">
      <c r="A65" s="5" t="s">
        <v>142</v>
      </c>
      <c r="B65" s="5" t="n">
        <f aca="false">COUNT('Quarterly Data'!I51:I64)</f>
        <v>14</v>
      </c>
    </row>
    <row r="66" customFormat="false" ht="15" hidden="false" customHeight="false" outlineLevel="0" collapsed="false">
      <c r="A66" s="5" t="s">
        <v>143</v>
      </c>
      <c r="B66" s="34" t="n">
        <f aca="false">SLOPE('Quarterly Data'!L55:L68,'Quarterly Data'!I51:I64)</f>
        <v>0.00144747241892443</v>
      </c>
    </row>
    <row r="67" customFormat="false" ht="15" hidden="false" customHeight="false" outlineLevel="0" collapsed="false">
      <c r="A67" s="5" t="s">
        <v>144</v>
      </c>
      <c r="B67" s="34" t="n">
        <f aca="false">INTERCEPT('Quarterly Data'!L55:L68,'Quarterly Data'!I51:I64)</f>
        <v>-0.113391627745454</v>
      </c>
    </row>
    <row r="68" customFormat="false" ht="15" hidden="false" customHeight="false" outlineLevel="0" collapsed="false">
      <c r="A68" s="5" t="s">
        <v>145</v>
      </c>
      <c r="B68" s="11" t="n">
        <f aca="false">CORREL('Quarterly Data'!L55:L68,'Quarterly Data'!I51:I64)</f>
        <v>0.330399371087756</v>
      </c>
    </row>
    <row r="69" customFormat="false" ht="15" hidden="false" customHeight="false" outlineLevel="0" collapsed="false">
      <c r="A69" s="5" t="s">
        <v>157</v>
      </c>
      <c r="B69" s="6" t="n">
        <f aca="false">'Quarterly Data'!I67</f>
        <v>53.1021978021978</v>
      </c>
    </row>
    <row r="70" customFormat="false" ht="15" hidden="false" customHeight="false" outlineLevel="0" collapsed="false">
      <c r="A70" s="4" t="s">
        <v>152</v>
      </c>
      <c r="B70" s="7" t="n">
        <f aca="false">B67+B66*B69</f>
        <v>-0.0365276610425036</v>
      </c>
    </row>
    <row r="72" customFormat="false" ht="15" hidden="false" customHeight="false" outlineLevel="0" collapsed="false">
      <c r="A72" s="4" t="s">
        <v>153</v>
      </c>
    </row>
    <row r="73" customFormat="false" ht="15" hidden="false" customHeight="false" outlineLevel="0" collapsed="false">
      <c r="A73" s="5" t="s">
        <v>141</v>
      </c>
      <c r="B73" s="5" t="s">
        <v>119</v>
      </c>
    </row>
    <row r="74" customFormat="false" ht="15" hidden="false" customHeight="false" outlineLevel="0" collapsed="false">
      <c r="A74" s="5" t="s">
        <v>142</v>
      </c>
      <c r="B74" s="5" t="n">
        <f aca="false">COUNT('Quarterly Data'!I51:I63)</f>
        <v>13</v>
      </c>
    </row>
    <row r="75" customFormat="false" ht="15" hidden="false" customHeight="false" outlineLevel="0" collapsed="false">
      <c r="A75" s="5" t="s">
        <v>143</v>
      </c>
      <c r="B75" s="34" t="n">
        <f aca="false">SLOPE('Quarterly Data'!L56:L68,'Quarterly Data'!I51:I63)</f>
        <v>0.00321880635769902</v>
      </c>
    </row>
    <row r="76" customFormat="false" ht="15" hidden="false" customHeight="false" outlineLevel="0" collapsed="false">
      <c r="A76" s="5" t="s">
        <v>144</v>
      </c>
      <c r="B76" s="34" t="n">
        <f aca="false">INTERCEPT('Quarterly Data'!L56:L68,'Quarterly Data'!I51:I63)</f>
        <v>-0.227731238085908</v>
      </c>
    </row>
    <row r="77" customFormat="false" ht="15" hidden="false" customHeight="false" outlineLevel="0" collapsed="false">
      <c r="A77" s="5" t="s">
        <v>145</v>
      </c>
      <c r="B77" s="11" t="n">
        <f aca="false">CORREL('Quarterly Data'!L56:L68,'Quarterly Data'!I51:I63)</f>
        <v>0.725600912129542</v>
      </c>
    </row>
    <row r="78" customFormat="false" ht="15" hidden="false" customHeight="false" outlineLevel="0" collapsed="false">
      <c r="A78" s="5" t="s">
        <v>157</v>
      </c>
      <c r="B78" s="6" t="n">
        <f aca="false">'Quarterly Data'!I67</f>
        <v>53.1021978021978</v>
      </c>
    </row>
    <row r="79" customFormat="false" ht="15" hidden="false" customHeight="false" outlineLevel="0" collapsed="false">
      <c r="A79" s="4" t="s">
        <v>154</v>
      </c>
      <c r="B79" s="7" t="n">
        <f aca="false">B76+B75*B78</f>
        <v>-0.0568055461924033</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2"/>
    <col collapsed="false" customWidth="true" hidden="false" outlineLevel="0" max="3" min="3" style="0" width="12"/>
    <col collapsed="false" customWidth="true" hidden="false" outlineLevel="0" max="6" min="4" style="0" width="18"/>
  </cols>
  <sheetData>
    <row r="1" customFormat="false" ht="17.35" hidden="false" customHeight="false" outlineLevel="0" collapsed="false">
      <c r="A1" s="1" t="s">
        <v>158</v>
      </c>
      <c r="B1" s="1"/>
      <c r="C1" s="1"/>
      <c r="D1" s="1"/>
      <c r="E1" s="1"/>
      <c r="F1" s="1"/>
    </row>
    <row r="2" customFormat="false" ht="75" hidden="false" customHeight="true" outlineLevel="0" collapsed="false">
      <c r="A2" s="2" t="s">
        <v>159</v>
      </c>
      <c r="B2" s="2"/>
      <c r="C2" s="2"/>
      <c r="D2" s="2"/>
      <c r="E2" s="2"/>
      <c r="F2" s="2"/>
    </row>
    <row r="4" customFormat="false" ht="15" hidden="false" customHeight="false" outlineLevel="0" collapsed="false">
      <c r="A4" s="9" t="s">
        <v>104</v>
      </c>
    </row>
    <row r="5" customFormat="false" ht="30" hidden="false" customHeight="true" outlineLevel="0" collapsed="false">
      <c r="A5" s="2" t="s">
        <v>160</v>
      </c>
      <c r="B5" s="2"/>
      <c r="C5" s="2"/>
      <c r="D5" s="2"/>
      <c r="E5" s="2"/>
      <c r="F5" s="2"/>
    </row>
    <row r="7" customFormat="false" ht="26.85" hidden="false" customHeight="false" outlineLevel="0" collapsed="false">
      <c r="A7" s="3" t="s">
        <v>2</v>
      </c>
      <c r="B7" s="3" t="s">
        <v>161</v>
      </c>
      <c r="C7" s="3" t="s">
        <v>110</v>
      </c>
      <c r="D7" s="3" t="s">
        <v>106</v>
      </c>
      <c r="E7" s="3" t="s">
        <v>162</v>
      </c>
      <c r="F7" s="3" t="s">
        <v>163</v>
      </c>
    </row>
    <row r="8" customFormat="false" ht="15" hidden="false" customHeight="false" outlineLevel="0" collapsed="false">
      <c r="A8" s="5" t="s">
        <v>8</v>
      </c>
      <c r="B8" s="5" t="s">
        <v>164</v>
      </c>
      <c r="C8" s="5" t="n">
        <f aca="false">COUNT('Quarterly Data'!M5:M34)</f>
        <v>25</v>
      </c>
      <c r="D8" s="11" t="n">
        <f aca="false">IFERROR(CORREL('Quarterly Data'!L5:L34,'Quarterly Data'!M5:M34),"n/a")</f>
        <v>0.926837141499103</v>
      </c>
      <c r="E8" s="11" t="n">
        <f aca="false">IFERROR(CORREL('Quarterly Data'!L6:L34,'Quarterly Data'!M5:M33),"n/a")</f>
        <v>0.610579795812482</v>
      </c>
      <c r="F8" s="11" t="n">
        <f aca="false">IFERROR(CORREL('Quarterly Data'!L5:L33,'Quarterly Data'!M6:M34),"n/a")</f>
        <v>0.786971053905195</v>
      </c>
    </row>
    <row r="9" customFormat="false" ht="15" hidden="false" customHeight="false" outlineLevel="0" collapsed="false">
      <c r="A9" s="5" t="s">
        <v>8</v>
      </c>
      <c r="B9" s="5" t="s">
        <v>165</v>
      </c>
      <c r="C9" s="5" t="n">
        <f aca="false">COUNT('Quarterly Data'!M17:M34)</f>
        <v>17</v>
      </c>
      <c r="D9" s="11" t="n">
        <f aca="false">IFERROR(CORREL('Quarterly Data'!L17:L34,'Quarterly Data'!M17:M34),"n/a")</f>
        <v>0.856260488763848</v>
      </c>
      <c r="E9" s="11" t="n">
        <f aca="false">IFERROR(CORREL('Quarterly Data'!L18:L34,'Quarterly Data'!M17:M33),"n/a")</f>
        <v>0.59242767152692</v>
      </c>
      <c r="F9" s="11" t="n">
        <f aca="false">IFERROR(CORREL('Quarterly Data'!L17:L33,'Quarterly Data'!M18:M34),"n/a")</f>
        <v>0.649278196037404</v>
      </c>
    </row>
    <row r="11" customFormat="false" ht="15" hidden="false" customHeight="false" outlineLevel="0" collapsed="false">
      <c r="A11" s="5" t="s">
        <v>17</v>
      </c>
      <c r="B11" s="5" t="s">
        <v>164</v>
      </c>
      <c r="C11" s="5" t="n">
        <f aca="false">COUNT('Quarterly Data'!M39:M68)</f>
        <v>25</v>
      </c>
      <c r="D11" s="11" t="n">
        <f aca="false">IFERROR(CORREL('Quarterly Data'!L39:L68,'Quarterly Data'!M39:M68),"n/a")</f>
        <v>0.824172608185631</v>
      </c>
      <c r="E11" s="11" t="n">
        <f aca="false">IFERROR(CORREL('Quarterly Data'!L40:L68,'Quarterly Data'!M39:M67),"n/a")</f>
        <v>0.477266971770067</v>
      </c>
      <c r="F11" s="11" t="n">
        <f aca="false">IFERROR(CORREL('Quarterly Data'!L39:L67,'Quarterly Data'!M40:M68),"n/a")</f>
        <v>0.790728244727872</v>
      </c>
    </row>
    <row r="12" customFormat="false" ht="15" hidden="false" customHeight="false" outlineLevel="0" collapsed="false">
      <c r="A12" s="5" t="s">
        <v>17</v>
      </c>
      <c r="B12" s="5" t="s">
        <v>165</v>
      </c>
      <c r="C12" s="5" t="n">
        <f aca="false">COUNT('Quarterly Data'!M51:M68)</f>
        <v>17</v>
      </c>
      <c r="D12" s="11" t="n">
        <f aca="false">IFERROR(CORREL('Quarterly Data'!L51:L68,'Quarterly Data'!M51:M68),"n/a")</f>
        <v>0.62884729824532</v>
      </c>
      <c r="E12" s="11" t="n">
        <f aca="false">IFERROR(CORREL('Quarterly Data'!L52:L68,'Quarterly Data'!M51:M67),"n/a")</f>
        <v>0.531136075992989</v>
      </c>
      <c r="F12" s="11" t="n">
        <f aca="false">IFERROR(CORREL('Quarterly Data'!L51:L67,'Quarterly Data'!M52:M68),"n/a")</f>
        <v>0.339406742543324</v>
      </c>
    </row>
    <row r="15" customFormat="false" ht="15" hidden="false" customHeight="false" outlineLevel="0" collapsed="false">
      <c r="A15" s="9" t="s">
        <v>111</v>
      </c>
    </row>
    <row r="16" customFormat="false" ht="45" hidden="false" customHeight="true" outlineLevel="0" collapsed="false">
      <c r="A16" s="2" t="s">
        <v>166</v>
      </c>
      <c r="B16" s="2"/>
      <c r="C16" s="2"/>
      <c r="D16" s="2"/>
      <c r="E16" s="2"/>
      <c r="F16" s="2"/>
    </row>
    <row r="17" customFormat="false" ht="45" hidden="false" customHeight="true" outlineLevel="0" collapsed="false">
      <c r="A17" s="2" t="s">
        <v>167</v>
      </c>
      <c r="B17" s="2"/>
      <c r="C17" s="2"/>
      <c r="D17" s="2"/>
      <c r="E17" s="2"/>
      <c r="F17" s="2"/>
    </row>
    <row r="18" customFormat="false" ht="45" hidden="false" customHeight="true" outlineLevel="0" collapsed="false">
      <c r="A18" s="2" t="s">
        <v>168</v>
      </c>
      <c r="B18" s="2"/>
      <c r="C18" s="2"/>
      <c r="D18" s="2"/>
      <c r="E18" s="2"/>
      <c r="F18" s="2"/>
    </row>
    <row r="19" customFormat="false" ht="45" hidden="false" customHeight="true" outlineLevel="0" collapsed="false">
      <c r="A19" s="2" t="s">
        <v>169</v>
      </c>
      <c r="B19" s="2"/>
      <c r="C19" s="2"/>
      <c r="D19" s="2"/>
      <c r="E19" s="2"/>
      <c r="F19" s="2"/>
    </row>
  </sheetData>
  <mergeCells count="7">
    <mergeCell ref="A1:F1"/>
    <mergeCell ref="A2:F2"/>
    <mergeCell ref="A5:F5"/>
    <mergeCell ref="A16:F16"/>
    <mergeCell ref="A17:F17"/>
    <mergeCell ref="A18:F18"/>
    <mergeCell ref="A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2026-08-19T22:30:27Z</dcterms:created>
  <dc:creator>openpyxl</dc:creator>
  <dc:description/>
  <dc:language>en-US</dc:language>
  <cp:lastModifiedBy/>
  <dcterms:modified xsi:type="dcterms:W3CDTF">2026-08-19T22:30:29Z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